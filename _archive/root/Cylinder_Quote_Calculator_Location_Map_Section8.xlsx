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  <row r="104" ht="30" customHeight="1">
      <c r="A104" s="12" t="inlineStr">
        <is>
          <t>6</t>
        </is>
      </c>
      <c r="B104" s="6" t="inlineStr">
        <is>
          <t>Accessories and Adders</t>
        </is>
      </c>
      <c r="C104" s="6" t="inlineStr">
        <is>
          <t>Direct accessory total</t>
        </is>
      </c>
      <c r="D104" s="6" t="inlineStr">
        <is>
          <t>Data</t>
        </is>
      </c>
      <c r="E104" s="6" t="inlineStr">
        <is>
          <t>H23</t>
        </is>
      </c>
      <c r="F104" s="6">
        <f>SUM(H8:H22)+H25</f>
        <v/>
      </c>
      <c r="G104" s="6" t="inlineStr">
        <is>
          <t>VERIFIED; direct accessory block added to Data!D6.</t>
        </is>
      </c>
    </row>
    <row r="105" ht="30" customHeight="1">
      <c r="A105" s="12" t="inlineStr">
        <is>
          <t>6</t>
        </is>
      </c>
      <c r="B105" s="6" t="inlineStr">
        <is>
          <t>Accessories and Adders</t>
        </is>
      </c>
      <c r="C105" s="6" t="inlineStr">
        <is>
          <t>Rod Clevis through Jam Nut quantities</t>
        </is>
      </c>
      <c r="D105" s="6" t="inlineStr">
        <is>
          <t>Data</t>
        </is>
      </c>
      <c r="E105" s="6" t="inlineStr">
        <is>
          <t>G9:G22</t>
        </is>
      </c>
      <c r="F105" s="6" t="inlineStr">
        <is>
          <t>User-entered quantities drive H9:H22 using Acc price cells.</t>
        </is>
      </c>
      <c r="G105" s="6" t="inlineStr">
        <is>
          <t>VERIFIED</t>
        </is>
      </c>
    </row>
    <row r="106" ht="30" customHeight="1">
      <c r="A106" s="12" t="inlineStr">
        <is>
          <t>6</t>
        </is>
      </c>
      <c r="B106" s="6" t="inlineStr">
        <is>
          <t>Accessories and Adders</t>
        </is>
      </c>
      <c r="C106" s="6" t="inlineStr">
        <is>
          <t>Standard Rod Boot</t>
        </is>
      </c>
      <c r="D106" s="6" t="inlineStr">
        <is>
          <t>Data / Acc</t>
        </is>
      </c>
      <c r="E106" s="6" t="inlineStr">
        <is>
          <t>Data!H25 / Acc!D69</t>
        </is>
      </c>
      <c r="F106" s="6" t="inlineStr">
        <is>
          <t>Acc!D69 sums rod-diameter-specific base + stroke price when Data!G25 &gt; 0.01.</t>
        </is>
      </c>
      <c r="G106" s="6" t="inlineStr">
        <is>
          <t>VERIFIED</t>
        </is>
      </c>
    </row>
    <row r="107" ht="30" customHeight="1">
      <c r="A107" s="12" t="inlineStr">
        <is>
          <t>6</t>
        </is>
      </c>
      <c r="B107" s="6" t="inlineStr">
        <is>
          <t>Accessories and Adders</t>
        </is>
      </c>
      <c r="C107" s="6" t="inlineStr">
        <is>
          <t>Special option total</t>
        </is>
      </c>
      <c r="D107" s="6" t="inlineStr">
        <is>
          <t>Data</t>
        </is>
      </c>
      <c r="E107" s="6" t="inlineStr">
        <is>
          <t>H33</t>
        </is>
      </c>
      <c r="F107" s="6">
        <f>SUM(H26:H32)</f>
        <v/>
      </c>
      <c r="G107" s="6" t="inlineStr">
        <is>
          <t>VERIFIED; free-form special option block.</t>
        </is>
      </c>
    </row>
    <row r="108" ht="30" customHeight="1">
      <c r="A108" s="12" t="inlineStr">
        <is>
          <t>6</t>
        </is>
      </c>
      <c r="B108" s="6" t="inlineStr">
        <is>
          <t>Accessories and Adders</t>
        </is>
      </c>
      <c r="C108" s="6" t="inlineStr">
        <is>
          <t>Special option descriptions</t>
        </is>
      </c>
      <c r="D108" s="6" t="inlineStr">
        <is>
          <t>Data / ShipVia</t>
        </is>
      </c>
      <c r="E108" s="6" t="inlineStr">
        <is>
          <t>F26:F31 -&gt; ShipVia!A24:A29</t>
        </is>
      </c>
      <c r="F108" s="6" t="inlineStr">
        <is>
          <t>Descriptions are mirrored to ShipVia for lookup.</t>
        </is>
      </c>
      <c r="G108" s="6" t="inlineStr">
        <is>
          <t>VERIFIED</t>
        </is>
      </c>
    </row>
    <row r="109" ht="30" customHeight="1">
      <c r="A109" s="12" t="inlineStr">
        <is>
          <t>6</t>
        </is>
      </c>
      <c r="B109" s="6" t="inlineStr">
        <is>
          <t>Accessories and Adders</t>
        </is>
      </c>
      <c r="C109" s="6" t="inlineStr">
        <is>
          <t>Special option lookup</t>
        </is>
      </c>
      <c r="D109" s="6" t="inlineStr">
        <is>
          <t>ShipVia</t>
        </is>
      </c>
      <c r="E109" s="6" t="inlineStr">
        <is>
          <t>B24:C29</t>
        </is>
      </c>
      <c r="F109" s="6" t="inlineStr">
        <is>
          <t>VLOOKUP descriptions against ShipVia!A52:C484; column C is used by Data!H26:H31.</t>
        </is>
      </c>
      <c r="G109" s="6" t="inlineStr">
        <is>
          <t>VERIFIED</t>
        </is>
      </c>
    </row>
    <row r="110" ht="30" customHeight="1">
      <c r="A110" s="12" t="inlineStr">
        <is>
          <t>6</t>
        </is>
      </c>
      <c r="B110" s="6" t="inlineStr">
        <is>
          <t>Accessories and Adders</t>
        </is>
      </c>
      <c r="C110" s="6" t="inlineStr">
        <is>
          <t>H-family common mods 1</t>
        </is>
      </c>
      <c r="D110" s="6" t="inlineStr">
        <is>
          <t>H2</t>
        </is>
      </c>
      <c r="E110" s="6" t="inlineStr">
        <is>
          <t>R53</t>
        </is>
      </c>
      <c r="F110" s="6">
        <f>SUM(M53:Q53)</f>
        <v/>
      </c>
      <c r="G110" s="6" t="inlineStr">
        <is>
          <t>VERIFIED; rod extension, stop tube, stainless rod, chrome bore, thread extension.</t>
        </is>
      </c>
    </row>
    <row r="111" ht="30" customHeight="1">
      <c r="A111" s="12" t="inlineStr">
        <is>
          <t>6</t>
        </is>
      </c>
      <c r="B111" s="6" t="inlineStr">
        <is>
          <t>Accessories and Adders</t>
        </is>
      </c>
      <c r="C111" s="6" t="inlineStr">
        <is>
          <t>H-family common mods 2</t>
        </is>
      </c>
      <c r="D111" s="6" t="inlineStr">
        <is>
          <t>H3</t>
        </is>
      </c>
      <c r="E111" s="6" t="inlineStr">
        <is>
          <t>T53</t>
        </is>
      </c>
      <c r="F111" s="6">
        <f>SUM(N53:S53)+T54</f>
        <v/>
      </c>
      <c r="G111" s="6" t="inlineStr">
        <is>
          <t>VERIFIED; gland drain, air bleed, prox, brass wiper, Viton, extra ports, light-duty mill.</t>
        </is>
      </c>
    </row>
    <row r="112" ht="30" customHeight="1">
      <c r="A112" s="12" t="inlineStr">
        <is>
          <t>6</t>
        </is>
      </c>
      <c r="B112" s="6" t="inlineStr">
        <is>
          <t>Accessories and Adders</t>
        </is>
      </c>
      <c r="C112" s="6" t="inlineStr">
        <is>
          <t>H-family common mods 3</t>
        </is>
      </c>
      <c r="D112" s="6" t="inlineStr">
        <is>
          <t>H4</t>
        </is>
      </c>
      <c r="E112" s="6" t="inlineStr">
        <is>
          <t>R53</t>
        </is>
      </c>
      <c r="F112" s="6">
        <f>SUM(M53:Q53)+R54</f>
        <v/>
      </c>
      <c r="G112" s="6" t="inlineStr">
        <is>
          <t>VERIFIED; flange port, extra tie rod, CIPR, UltraOx, special seals.</t>
        </is>
      </c>
    </row>
    <row r="113" ht="30" customHeight="1">
      <c r="A113" s="12" t="inlineStr">
        <is>
          <t>6</t>
        </is>
      </c>
      <c r="B113" s="6" t="inlineStr">
        <is>
          <t>Accessories and Adders</t>
        </is>
      </c>
      <c r="C113" s="6" t="inlineStr">
        <is>
          <t>A/LH common mods 1</t>
        </is>
      </c>
      <c r="D113" s="6" t="inlineStr">
        <is>
          <t>A2</t>
        </is>
      </c>
      <c r="E113" s="6" t="inlineStr">
        <is>
          <t>O55</t>
        </is>
      </c>
      <c r="F113" s="6">
        <f>SUM(K55:N55)</f>
        <v/>
      </c>
      <c r="G113" s="6" t="inlineStr">
        <is>
          <t>VERIFIED; rod extension, stop tube, stainless rod, thread extension.</t>
        </is>
      </c>
    </row>
    <row r="114" ht="30" customHeight="1">
      <c r="A114" s="12" t="inlineStr">
        <is>
          <t>6</t>
        </is>
      </c>
      <c r="B114" s="6" t="inlineStr">
        <is>
          <t>Accessories and Adders</t>
        </is>
      </c>
      <c r="C114" s="6" t="inlineStr">
        <is>
          <t>A/LH common mods 2</t>
        </is>
      </c>
      <c r="D114" s="6" t="inlineStr">
        <is>
          <t>A3</t>
        </is>
      </c>
      <c r="E114" s="6" t="inlineStr">
        <is>
          <t>Q55</t>
        </is>
      </c>
      <c r="F114" s="6">
        <f>SUM(L55:P55)</f>
        <v/>
      </c>
      <c r="G114" s="6" t="inlineStr">
        <is>
          <t>VERIFIED; air bleed, prox, brass wiper, seals, extra ports.</t>
        </is>
      </c>
    </row>
    <row r="115" ht="30" customHeight="1">
      <c r="A115" s="12" t="inlineStr">
        <is>
          <t>6</t>
        </is>
      </c>
      <c r="B115" s="6" t="inlineStr">
        <is>
          <t>Accessories and Adders</t>
        </is>
      </c>
      <c r="C115" s="6" t="inlineStr">
        <is>
          <t>A/LH common mods 3 reference</t>
        </is>
      </c>
      <c r="D115" s="6" t="inlineStr">
        <is>
          <t>A4</t>
        </is>
      </c>
      <c r="E115" s="6" t="inlineStr">
        <is>
          <t>O55</t>
        </is>
      </c>
      <c r="F115" s="6" t="inlineStr">
        <is>
          <t>Blank in current workbook but referenced in Data!D6.</t>
        </is>
      </c>
      <c r="G115" s="6" t="inlineStr">
        <is>
          <t>VERIFIED blank / legacy-reserved reference.</t>
        </is>
      </c>
    </row>
    <row r="116" ht="30" customHeight="1">
      <c r="A116" s="12" t="inlineStr">
        <is>
          <t>6</t>
        </is>
      </c>
      <c r="B116" s="6" t="inlineStr">
        <is>
          <t>Accessories and Adders</t>
        </is>
      </c>
      <c r="C116" s="6" t="inlineStr">
        <is>
          <t>Metric common mods 1</t>
        </is>
      </c>
      <c r="D116" s="6" t="inlineStr">
        <is>
          <t>IH2</t>
        </is>
      </c>
      <c r="E116" s="6" t="inlineStr">
        <is>
          <t>R37</t>
        </is>
      </c>
      <c r="F116" s="6">
        <f>SUM(M37:Q37)</f>
        <v/>
      </c>
      <c r="G116" s="6" t="inlineStr">
        <is>
          <t>VERIFIED; metric rod extension, stop tube, stainless rod, chrome bore, thread extension.</t>
        </is>
      </c>
    </row>
    <row r="117" ht="30" customHeight="1">
      <c r="A117" s="12" t="inlineStr">
        <is>
          <t>6</t>
        </is>
      </c>
      <c r="B117" s="6" t="inlineStr">
        <is>
          <t>Accessories and Adders</t>
        </is>
      </c>
      <c r="C117" s="6" t="inlineStr">
        <is>
          <t>Metric common mods 2</t>
        </is>
      </c>
      <c r="D117" s="6" t="inlineStr">
        <is>
          <t>IH3</t>
        </is>
      </c>
      <c r="E117" s="6" t="inlineStr">
        <is>
          <t>U37</t>
        </is>
      </c>
      <c r="F117" s="6">
        <f>SUM(N37:T37)</f>
        <v/>
      </c>
      <c r="G117" s="6" t="inlineStr">
        <is>
          <t>VERIFIED; gland drain, air bleed, prox, brass wiper, special seals, extra ports.</t>
        </is>
      </c>
    </row>
    <row r="118" ht="30" customHeight="1">
      <c r="A118" s="12" t="inlineStr">
        <is>
          <t>6</t>
        </is>
      </c>
      <c r="B118" s="6" t="inlineStr">
        <is>
          <t>Accessories and Adders</t>
        </is>
      </c>
      <c r="C118" s="6" t="inlineStr">
        <is>
          <t>Metric common mods 3</t>
        </is>
      </c>
      <c r="D118" s="6" t="inlineStr">
        <is>
          <t>IH4</t>
        </is>
      </c>
      <c r="E118" s="6" t="inlineStr">
        <is>
          <t>S37</t>
        </is>
      </c>
      <c r="F118" s="6">
        <f>SUM(M37:R37)</f>
        <v/>
      </c>
      <c r="G118" s="6" t="inlineStr">
        <is>
          <t>VERIFIED; flange port, extra tie rod, CIPR, UltraOx, special seals.</t>
        </is>
      </c>
    </row>
    <row r="119" ht="30" customHeight="1">
      <c r="A119" s="12" t="inlineStr">
        <is>
          <t>6</t>
        </is>
      </c>
      <c r="B119" s="6" t="inlineStr">
        <is>
          <t>Accessories and Adders</t>
        </is>
      </c>
      <c r="C119" s="6" t="inlineStr">
        <is>
          <t>Position-sensing total</t>
        </is>
      </c>
      <c r="D119" s="6" t="inlineStr">
        <is>
          <t>PH</t>
        </is>
      </c>
      <c r="E119" s="6" t="inlineStr">
        <is>
          <t>A33</t>
        </is>
      </c>
      <c r="F119" s="6">
        <f>IF(L33&gt;1,L33,D32+H20+I20+J20)</f>
        <v/>
      </c>
      <c r="G119" s="6" t="inlineStr">
        <is>
          <t>VERIFIED; chooses metric branch when L33 &gt; 1, otherwise imperial branch.</t>
        </is>
      </c>
    </row>
    <row r="120" ht="30" customHeight="1">
      <c r="A120" s="12" t="inlineStr">
        <is>
          <t>6</t>
        </is>
      </c>
      <c r="B120" s="6" t="inlineStr">
        <is>
          <t>Accessories and Adders</t>
        </is>
      </c>
      <c r="C120" s="6" t="inlineStr">
        <is>
          <t>PH gun drilling / transducer</t>
        </is>
      </c>
      <c r="D120" s="6" t="inlineStr">
        <is>
          <t>PH</t>
        </is>
      </c>
      <c r="E120" s="6" t="inlineStr">
        <is>
          <t>H5:H20 / S5:S20</t>
        </is>
      </c>
      <c r="F120" s="6" t="inlineStr">
        <is>
          <t>Triggered by Data!B18 or B22; base + stroke rate keyed by bore.</t>
        </is>
      </c>
      <c r="G120" s="6" t="inlineStr">
        <is>
          <t>VERIFIED</t>
        </is>
      </c>
    </row>
    <row r="121" ht="30" customHeight="1">
      <c r="A121" s="12" t="inlineStr">
        <is>
          <t>6</t>
        </is>
      </c>
      <c r="B121" s="6" t="inlineStr">
        <is>
          <t>Accessories and Adders</t>
        </is>
      </c>
      <c r="C121" s="6" t="inlineStr">
        <is>
          <t>PH sensor cover</t>
        </is>
      </c>
      <c r="D121" s="6" t="inlineStr">
        <is>
          <t>PH</t>
        </is>
      </c>
      <c r="E121" s="6" t="inlineStr">
        <is>
          <t>I5:I20 / T5:T20</t>
        </is>
      </c>
      <c r="F121" s="6" t="inlineStr">
        <is>
          <t>Triggered by Data!B24; certain MP mounts double price.</t>
        </is>
      </c>
      <c r="G121" s="6" t="inlineStr">
        <is>
          <t>VERIFIED</t>
        </is>
      </c>
    </row>
    <row r="122" ht="30" customHeight="1">
      <c r="A122" s="12" t="inlineStr">
        <is>
          <t>6</t>
        </is>
      </c>
      <c r="B122" s="6" t="inlineStr">
        <is>
          <t>Accessories and Adders</t>
        </is>
      </c>
      <c r="C122" s="6" t="inlineStr">
        <is>
          <t>PH valve manifold</t>
        </is>
      </c>
      <c r="D122" s="6" t="inlineStr">
        <is>
          <t>PH</t>
        </is>
      </c>
      <c r="E122" s="6" t="inlineStr">
        <is>
          <t>J5:J20 / U5:U20</t>
        </is>
      </c>
      <c r="F122" s="6" t="inlineStr">
        <is>
          <t>Triggered by Data!B26; base + stroke rate keyed by bore.</t>
        </is>
      </c>
      <c r="G122" s="6" t="inlineStr">
        <is>
          <t>VERIFIED</t>
        </is>
      </c>
    </row>
    <row r="123" ht="30" customHeight="1">
      <c r="A123" s="12" t="inlineStr">
        <is>
          <t>6</t>
        </is>
      </c>
      <c r="B123" s="6" t="inlineStr">
        <is>
          <t>Accessories and Adders</t>
        </is>
      </c>
      <c r="C123" s="6" t="inlineStr">
        <is>
          <t>VA total</t>
        </is>
      </c>
      <c r="D123" s="6" t="inlineStr">
        <is>
          <t>VA</t>
        </is>
      </c>
      <c r="E123" s="6" t="inlineStr">
        <is>
          <t>K20</t>
        </is>
      </c>
      <c r="F123" s="6">
        <f>SUM(J37:N37)+J19</f>
        <v/>
      </c>
      <c r="G123" s="6" t="inlineStr">
        <is>
          <t>VERIFIED; VA base/stroke plus VA common modifications.</t>
        </is>
      </c>
    </row>
    <row r="124" ht="30" customHeight="1">
      <c r="A124" s="12" t="inlineStr">
        <is>
          <t>6</t>
        </is>
      </c>
      <c r="B124" s="6" t="inlineStr">
        <is>
          <t>Accessories and Adders</t>
        </is>
      </c>
      <c r="C124" s="6" t="inlineStr">
        <is>
          <t>VA base + stroke</t>
        </is>
      </c>
      <c r="D124" s="6" t="inlineStr">
        <is>
          <t>VA</t>
        </is>
      </c>
      <c r="E124" s="6" t="inlineStr">
        <is>
          <t>J5:J18</t>
        </is>
      </c>
      <c r="F124" s="6" t="inlineStr">
        <is>
          <t>Matching VA bore returns base E + stroke x F; J19 sums active row.</t>
        </is>
      </c>
      <c r="G124" s="6" t="inlineStr">
        <is>
          <t>VERIFIED</t>
        </is>
      </c>
    </row>
    <row r="125" ht="30" customHeight="1">
      <c r="A125" s="12" t="inlineStr">
        <is>
          <t>6</t>
        </is>
      </c>
      <c r="B125" s="6" t="inlineStr">
        <is>
          <t>Accessories and Adders</t>
        </is>
      </c>
      <c r="C125" s="6" t="inlineStr">
        <is>
          <t>Reserved add-on slot</t>
        </is>
      </c>
      <c r="D125" s="6" t="inlineStr">
        <is>
          <t>Data</t>
        </is>
      </c>
      <c r="E125" s="6" t="inlineStr">
        <is>
          <t>C10</t>
        </is>
      </c>
      <c r="F125" s="6" t="inlineStr">
        <is>
          <t>Blank but referenced in Data!D6.</t>
        </is>
      </c>
      <c r="G125" s="6" t="inlineStr">
        <is>
          <t>VERIFIED blank; purpose not yet established.</t>
        </is>
      </c>
    </row>
    <row r="126" ht="30" customHeight="1">
      <c r="A126" s="12" t="inlineStr">
        <is>
          <t>6</t>
        </is>
      </c>
      <c r="B126" s="6" t="inlineStr">
        <is>
          <t>Accessories and Adders</t>
        </is>
      </c>
      <c r="C126" s="6" t="inlineStr">
        <is>
          <t>Post-subtotal add</t>
        </is>
      </c>
      <c r="D126" s="6" t="inlineStr">
        <is>
          <t>Data</t>
        </is>
      </c>
      <c r="E126" s="6" t="inlineStr">
        <is>
          <t>H24</t>
        </is>
      </c>
      <c r="F126" s="6" t="inlineStr">
        <is>
          <t>Blank but added after the (1-D4) multiplication in Data!D6.</t>
        </is>
      </c>
      <c r="G126" s="6" t="inlineStr">
        <is>
          <t>VERIFIED blank; placement important for Section 7.</t>
        </is>
      </c>
    </row>
    <row r="127" ht="30" customHeight="1">
      <c r="A127" s="12" t="inlineStr">
        <is>
          <t>6</t>
        </is>
      </c>
      <c r="B127" s="6" t="inlineStr">
        <is>
          <t>Accessories and Adders</t>
        </is>
      </c>
      <c r="C127" s="6" t="inlineStr">
        <is>
          <t>Architecture conclusion</t>
        </is>
      </c>
      <c r="D127" s="6" t="inlineStr">
        <is>
          <t>Future HTML pricing engine</t>
        </is>
      </c>
      <c r="E127" s="6" t="inlineStr">
        <is>
          <t>Optional charge modules</t>
        </is>
      </c>
      <c r="F127" s="6" t="inlineStr">
        <is>
          <t>Compute named accessory/common-mod/PH/VA adders separately, then sum them.</t>
        </is>
      </c>
      <c r="G127" s="6" t="inlineStr">
        <is>
          <t>VERIFIED design abstraction.</t>
        </is>
      </c>
    </row>
    <row r="128" ht="34" customHeight="1">
      <c r="A128" s="12" t="inlineStr">
        <is>
          <t>7</t>
        </is>
      </c>
      <c r="B128" s="6" t="inlineStr">
        <is>
          <t>Special-Order Pricing Rules</t>
        </is>
      </c>
      <c r="C128" s="6" t="inlineStr">
        <is>
          <t>DRE user entry</t>
        </is>
      </c>
      <c r="D128" s="6" t="inlineStr">
        <is>
          <t>OrderEntry</t>
        </is>
      </c>
      <c r="E128" s="6" t="inlineStr">
        <is>
          <t>TextBox8</t>
        </is>
      </c>
      <c r="F128" s="6" t="inlineStr">
        <is>
          <t>Control is positioned under label DRE (Y).</t>
        </is>
      </c>
      <c r="G128" s="6" t="inlineStr">
        <is>
          <t>FORM UI VERIFIED; exact ControlSource/event binding to Data!D18 remains to be confirmed.</t>
        </is>
      </c>
    </row>
    <row r="129" ht="34" customHeight="1">
      <c r="A129" s="12" t="inlineStr">
        <is>
          <t>7</t>
        </is>
      </c>
      <c r="B129" s="6" t="inlineStr">
        <is>
          <t>Special-Order Pricing Rules</t>
        </is>
      </c>
      <c r="C129" s="6" t="inlineStr">
        <is>
          <t>DRE flag</t>
        </is>
      </c>
      <c r="D129" s="6" t="inlineStr">
        <is>
          <t>Data</t>
        </is>
      </c>
      <c r="E129" s="6" t="inlineStr">
        <is>
          <t>D18</t>
        </is>
      </c>
      <c r="F129" s="6" t="inlineStr">
        <is>
          <t>Blank/nonblank flag used by Data!E5 and Data!D6; reset VBA explicitly clears D18.</t>
        </is>
      </c>
      <c r="G129" s="6" t="inlineStr">
        <is>
          <t>VERIFIED worksheet role.</t>
        </is>
      </c>
    </row>
    <row r="130" ht="34" customHeight="1">
      <c r="A130" s="12" t="inlineStr">
        <is>
          <t>7</t>
        </is>
      </c>
      <c r="B130" s="6" t="inlineStr">
        <is>
          <t>Special-Order Pricing Rules</t>
        </is>
      </c>
      <c r="C130" s="6" t="inlineStr">
        <is>
          <t>DRE model prefix</t>
        </is>
      </c>
      <c r="D130" s="6" t="inlineStr">
        <is>
          <t>Data</t>
        </is>
      </c>
      <c r="E130" s="6" t="inlineStr">
        <is>
          <t>E5</t>
        </is>
      </c>
      <c r="F130" s="6">
        <f>IF(D18="",B5,CONCATENATE("DRE/",B5))</f>
        <v/>
      </c>
      <c r="G130" s="6" t="inlineStr">
        <is>
          <t>VERIFIED; DRE changes mount segment to DRE/&lt;mount&gt;.</t>
        </is>
      </c>
    </row>
    <row r="131" ht="34" customHeight="1">
      <c r="A131" s="12" t="inlineStr">
        <is>
          <t>7</t>
        </is>
      </c>
      <c r="B131" s="6" t="inlineStr">
        <is>
          <t>Special-Order Pricing Rules</t>
        </is>
      </c>
      <c r="C131" s="6" t="inlineStr">
        <is>
          <t>DRE price surcharge</t>
        </is>
      </c>
      <c r="D131" s="6" t="inlineStr">
        <is>
          <t>Data</t>
        </is>
      </c>
      <c r="E131" s="6" t="inlineStr">
        <is>
          <t>D6</t>
        </is>
      </c>
      <c r="F131" s="6" t="inlineStr">
        <is>
          <t>When D18 is nonblank, adds C5*0.65 before applying (1-D4).</t>
        </is>
      </c>
      <c r="G131" s="6" t="inlineStr">
        <is>
          <t>VERIFIED.</t>
        </is>
      </c>
    </row>
    <row r="132" ht="34" customHeight="1">
      <c r="A132" s="12" t="inlineStr">
        <is>
          <t>7</t>
        </is>
      </c>
      <c r="B132" s="6" t="inlineStr">
        <is>
          <t>Special-Order Pricing Rules</t>
        </is>
      </c>
      <c r="C132" s="6" t="inlineStr">
        <is>
          <t>DRE surcharge base</t>
        </is>
      </c>
      <c r="D132" s="6" t="inlineStr">
        <is>
          <t>Data</t>
        </is>
      </c>
      <c r="E132" s="6" t="inlineStr">
        <is>
          <t>C5</t>
        </is>
      </c>
      <c r="F132" s="6" t="inlineStr">
        <is>
          <t>65% applies only to C5 primary base-price total.</t>
        </is>
      </c>
      <c r="G132" s="6" t="inlineStr">
        <is>
          <t>VERIFIED; stroke/cushion and optional adders are excluded from the surcharge base.</t>
        </is>
      </c>
    </row>
    <row r="133" ht="34" customHeight="1">
      <c r="A133" s="12" t="inlineStr">
        <is>
          <t>7</t>
        </is>
      </c>
      <c r="B133" s="6" t="inlineStr">
        <is>
          <t>Special-Order Pricing Rules</t>
        </is>
      </c>
      <c r="C133" s="6" t="inlineStr">
        <is>
          <t>Normal subtotal symbol S</t>
        </is>
      </c>
      <c r="D133" s="6" t="inlineStr">
        <is>
          <t>Data</t>
        </is>
      </c>
      <c r="E133" s="6" t="inlineStr">
        <is>
          <t>D6</t>
        </is>
      </c>
      <c r="F133" s="6" t="inlineStr">
        <is>
          <t>C5+C8+C10+H23+H33+VA!K20+PH!A33+H2!R53+H3!T53+H4!R53+A2!O55+A3!Q55+A4!O55+IH2!R37+IH3!U37+IH4!S37</t>
        </is>
      </c>
      <c r="G133" s="6" t="inlineStr">
        <is>
          <t>VERIFIED D6 subtotal.</t>
        </is>
      </c>
    </row>
    <row r="134" ht="34" customHeight="1">
      <c r="A134" s="12" t="inlineStr">
        <is>
          <t>7</t>
        </is>
      </c>
      <c r="B134" s="6" t="inlineStr">
        <is>
          <t>Special-Order Pricing Rules</t>
        </is>
      </c>
      <c r="C134" s="6" t="inlineStr">
        <is>
          <t>Adjustment order</t>
        </is>
      </c>
      <c r="D134" s="6" t="inlineStr">
        <is>
          <t>Data</t>
        </is>
      </c>
      <c r="E134" s="6" t="inlineStr">
        <is>
          <t>D6</t>
        </is>
      </c>
      <c r="F134" s="6" t="inlineStr">
        <is>
          <t>Normal or DRE subtotal is multiplied by (1-D4).</t>
        </is>
      </c>
      <c r="G134" s="6" t="inlineStr">
        <is>
          <t>VERIFIED; DRE surcharge is inside adjustment.</t>
        </is>
      </c>
    </row>
    <row r="135" ht="34" customHeight="1">
      <c r="A135" s="12" t="inlineStr">
        <is>
          <t>7</t>
        </is>
      </c>
      <c r="B135" s="6" t="inlineStr">
        <is>
          <t>Special-Order Pricing Rules</t>
        </is>
      </c>
      <c r="C135" s="6" t="inlineStr">
        <is>
          <t>Post-adjustment add</t>
        </is>
      </c>
      <c r="D135" s="6" t="inlineStr">
        <is>
          <t>Data</t>
        </is>
      </c>
      <c r="E135" s="6" t="inlineStr">
        <is>
          <t>H24</t>
        </is>
      </c>
      <c r="F135" s="6" t="inlineStr">
        <is>
          <t>H24 is added after (1-D4) and before final ROUNDUP.</t>
        </is>
      </c>
      <c r="G135" s="6" t="inlineStr">
        <is>
          <t>VERIFIED placement; currently blank.</t>
        </is>
      </c>
    </row>
    <row r="136" ht="34" customHeight="1">
      <c r="A136" s="12" t="inlineStr">
        <is>
          <t>7</t>
        </is>
      </c>
      <c r="B136" s="6" t="inlineStr">
        <is>
          <t>Special-Order Pricing Rules</t>
        </is>
      </c>
      <c r="C136" s="6" t="inlineStr">
        <is>
          <t>Final rounding</t>
        </is>
      </c>
      <c r="D136" s="6" t="inlineStr">
        <is>
          <t>Data</t>
        </is>
      </c>
      <c r="E136" s="6" t="inlineStr">
        <is>
          <t>D6</t>
        </is>
      </c>
      <c r="F136" s="6" t="inlineStr">
        <is>
          <t>ROUNDUP(...,0)</t>
        </is>
      </c>
      <c r="G136" s="6" t="inlineStr">
        <is>
          <t>VERIFIED whole-dollar upward rounding.</t>
        </is>
      </c>
    </row>
    <row r="137" ht="34" customHeight="1">
      <c r="A137" s="12" t="inlineStr">
        <is>
          <t>7</t>
        </is>
      </c>
      <c r="B137" s="6" t="inlineStr">
        <is>
          <t>Special-Order Pricing Rules</t>
        </is>
      </c>
      <c r="C137" s="6" t="inlineStr">
        <is>
          <t>Rod style input</t>
        </is>
      </c>
      <c r="D137" s="6" t="inlineStr">
        <is>
          <t>Data</t>
        </is>
      </c>
      <c r="E137" s="6" t="inlineStr">
        <is>
          <t>D15</t>
        </is>
      </c>
      <c r="F137" s="6" t="inlineStr">
        <is>
          <t>OrderEntry Style writes here; Data!D9 interprets style values.</t>
        </is>
      </c>
      <c r="G137" s="6" t="inlineStr">
        <is>
          <t>VERIFIED.</t>
        </is>
      </c>
    </row>
    <row r="138" ht="34" customHeight="1">
      <c r="A138" s="12" t="inlineStr">
        <is>
          <t>7</t>
        </is>
      </c>
      <c r="B138" s="6" t="inlineStr">
        <is>
          <t>Special-Order Pricing Rules</t>
        </is>
      </c>
      <c r="C138" s="6" t="inlineStr">
        <is>
          <t>Rod style description</t>
        </is>
      </c>
      <c r="D138" s="6" t="inlineStr">
        <is>
          <t>Data</t>
        </is>
      </c>
      <c r="E138" s="6" t="inlineStr">
        <is>
          <t>D9</t>
        </is>
      </c>
      <c r="F138" s="6" t="inlineStr">
        <is>
          <t>D15=4 -&gt; Safety Coupler; D15=5 -&gt; Special Threads; other values use rod lookup.</t>
        </is>
      </c>
      <c r="G138" s="6" t="inlineStr">
        <is>
          <t>VERIFIED.</t>
        </is>
      </c>
    </row>
    <row r="139" ht="34" customHeight="1">
      <c r="A139" s="12" t="inlineStr">
        <is>
          <t>7</t>
        </is>
      </c>
      <c r="B139" s="6" t="inlineStr">
        <is>
          <t>Special-Order Pricing Rules</t>
        </is>
      </c>
      <c r="C139" s="6" t="inlineStr">
        <is>
          <t>Special-thread charge driver</t>
        </is>
      </c>
      <c r="D139" s="6" t="inlineStr">
        <is>
          <t>Data / H2 / A2 / IH2</t>
        </is>
      </c>
      <c r="E139" s="6" t="inlineStr">
        <is>
          <t>Data!B27</t>
        </is>
      </c>
      <c r="F139" s="6" t="inlineStr">
        <is>
          <t>Secondary sheets multiply row-specific thread rate by B27; totals feed D6.</t>
        </is>
      </c>
      <c r="G139" s="6" t="inlineStr">
        <is>
          <t>VERIFIED monetary thread-extension path.</t>
        </is>
      </c>
    </row>
    <row r="140" ht="34" customHeight="1">
      <c r="A140" s="12" t="inlineStr">
        <is>
          <t>7</t>
        </is>
      </c>
      <c r="B140" s="6" t="inlineStr">
        <is>
          <t>Special-Order Pricing Rules</t>
        </is>
      </c>
      <c r="C140" s="6" t="inlineStr">
        <is>
          <t>D15 direct price dependency</t>
        </is>
      </c>
      <c r="D140" s="6" t="inlineStr">
        <is>
          <t>Workbook</t>
        </is>
      </c>
      <c r="E140" s="6" t="inlineStr">
        <is>
          <t>D15 -&gt; D6 search</t>
        </is>
      </c>
      <c r="F140" s="6" t="inlineStr">
        <is>
          <t>No direct D15 reference found in D6 or the documented D6 add-on totals.</t>
        </is>
      </c>
      <c r="G140" s="6" t="inlineStr">
        <is>
          <t>VERIFIED search result; dimensional/description logic does use D15.</t>
        </is>
      </c>
    </row>
    <row r="141" ht="34" customHeight="1">
      <c r="A141" s="12" t="inlineStr">
        <is>
          <t>7</t>
        </is>
      </c>
      <c r="B141" s="6" t="inlineStr">
        <is>
          <t>Special-Order Pricing Rules</t>
        </is>
      </c>
      <c r="C141" s="6" t="inlineStr">
        <is>
          <t>Discount/adjustment field</t>
        </is>
      </c>
      <c r="D141" s="6" t="inlineStr">
        <is>
          <t>Data / Quote Form / OrderEntry</t>
        </is>
      </c>
      <c r="E141" s="6" t="inlineStr">
        <is>
          <t>Data!D4 / Quote Form!E11 / TextBoxDiscount</t>
        </is>
      </c>
      <c r="F141" s="6" t="inlineStr">
        <is>
          <t>D6 uses (1-D4); Quote Form displays D4; form label identifies Discount.</t>
        </is>
      </c>
      <c r="G141" s="6" t="inlineStr">
        <is>
          <t>VERIFIED relationship; full list/net interpretation deferred to Section 8.</t>
        </is>
      </c>
    </row>
    <row r="142" ht="34" customHeight="1">
      <c r="A142" s="12" t="inlineStr">
        <is>
          <t>7</t>
        </is>
      </c>
      <c r="B142" s="6" t="inlineStr">
        <is>
          <t>Special-Order Pricing Rules</t>
        </is>
      </c>
      <c r="C142" s="6" t="inlineStr">
        <is>
          <t>HTML abstraction</t>
        </is>
      </c>
      <c r="D142" s="6" t="inlineStr">
        <is>
          <t>Future pricing engine</t>
        </is>
      </c>
      <c r="E142" s="6" t="inlineStr">
        <is>
          <t>special_order_layer</t>
        </is>
      </c>
      <c r="F142" s="6" t="inlineStr">
        <is>
          <t>DRE surcharge is explicit 65% of base; extra-thread pricing separate from rod-style selection.</t>
        </is>
      </c>
      <c r="G142" s="6" t="inlineStr">
        <is>
          <t>VERIFIED design abstraction.</t>
        </is>
      </c>
    </row>
    <row r="143" ht="34" customHeight="1">
      <c r="A143" s="12" t="inlineStr">
        <is>
          <t>8</t>
        </is>
      </c>
      <c r="B143" s="6" t="inlineStr">
        <is>
          <t>Cost -&gt; List -&gt; Selling / Net Price</t>
        </is>
      </c>
      <c r="C143" s="6" t="inlineStr">
        <is>
          <t>Discount</t>
        </is>
      </c>
      <c r="D143" s="6" t="inlineStr">
        <is>
          <t>Data</t>
        </is>
      </c>
      <c r="E143" s="6" t="inlineStr">
        <is>
          <t>D4</t>
        </is>
      </c>
      <c r="F143" s="6" t="inlineStr">
        <is>
          <t>Percentage used as (1-D4); Quote Form!E11 = D4; cell format 0%.</t>
        </is>
      </c>
      <c r="G143" s="6" t="inlineStr">
        <is>
          <t>VERIFIED business role as customer discount; exact OrderEntry TextBoxDiscount binding mechanism still to confirm.</t>
        </is>
      </c>
    </row>
    <row r="144" ht="34" customHeight="1">
      <c r="A144" s="12" t="inlineStr">
        <is>
          <t>8</t>
        </is>
      </c>
      <c r="B144" s="6" t="inlineStr">
        <is>
          <t>Cost -&gt; List -&gt; Selling / Net Price</t>
        </is>
      </c>
      <c r="C144" s="6" t="inlineStr">
        <is>
          <t>Configured Net Each</t>
        </is>
      </c>
      <c r="D144" s="6" t="inlineStr">
        <is>
          <t>Data</t>
        </is>
      </c>
      <c r="E144" s="6" t="inlineStr">
        <is>
          <t>D6</t>
        </is>
      </c>
      <c r="F144" s="6" t="inlineStr">
        <is>
          <t>Final Section 7 pricing formula; OrderEntry ListBox1 RowSource = Data!D6.</t>
        </is>
      </c>
      <c r="G144" s="6" t="inlineStr">
        <is>
          <t>VERIFIED selling/net role despite Data!D5 label Cost.</t>
        </is>
      </c>
    </row>
    <row r="145" ht="34" customHeight="1">
      <c r="A145" s="12" t="inlineStr">
        <is>
          <t>8</t>
        </is>
      </c>
      <c r="B145" s="6" t="inlineStr">
        <is>
          <t>Cost -&gt; List -&gt; Selling / Net Price</t>
        </is>
      </c>
      <c r="C145" s="6" t="inlineStr">
        <is>
          <t>List reconstruction</t>
        </is>
      </c>
      <c r="D145" s="6" t="inlineStr">
        <is>
          <t>Data</t>
        </is>
      </c>
      <c r="E145" s="6" t="inlineStr">
        <is>
          <t>I13</t>
        </is>
      </c>
      <c r="F145" s="6">
        <f>D6/(1-D4)</f>
        <v/>
      </c>
      <c r="G145" s="6" t="inlineStr">
        <is>
          <t>VERIFIED backs discount out to reconstruct list price.</t>
        </is>
      </c>
    </row>
    <row r="146" ht="34" customHeight="1">
      <c r="A146" s="12" t="inlineStr">
        <is>
          <t>8</t>
        </is>
      </c>
      <c r="B146" s="6" t="inlineStr">
        <is>
          <t>Cost -&gt; List -&gt; Selling / Net Price</t>
        </is>
      </c>
      <c r="C146" s="6" t="inlineStr">
        <is>
          <t>Displayed List</t>
        </is>
      </c>
      <c r="D146" s="6" t="inlineStr">
        <is>
          <t>Quote Form</t>
        </is>
      </c>
      <c r="E146" s="6" t="inlineStr">
        <is>
          <t>D11</t>
        </is>
      </c>
      <c r="F146" s="6">
        <f>IF(Data!B3="W",Data!I13*0.85,Data!I13)</f>
        <v/>
      </c>
      <c r="G146" s="6" t="inlineStr">
        <is>
          <t>VERIFIED W-series additional 15% list reduction.</t>
        </is>
      </c>
    </row>
    <row r="147" ht="34" customHeight="1">
      <c r="A147" s="12" t="inlineStr">
        <is>
          <t>8</t>
        </is>
      </c>
      <c r="B147" s="6" t="inlineStr">
        <is>
          <t>Cost -&gt; List -&gt; Selling / Net Price</t>
        </is>
      </c>
      <c r="C147" s="6" t="inlineStr">
        <is>
          <t>Displayed Discount</t>
        </is>
      </c>
      <c r="D147" s="6" t="inlineStr">
        <is>
          <t>Quote Form</t>
        </is>
      </c>
      <c r="E147" s="6" t="inlineStr">
        <is>
          <t>E11</t>
        </is>
      </c>
      <c r="F147" s="6">
        <f>Data!D4</f>
        <v/>
      </c>
      <c r="G147" s="6" t="inlineStr">
        <is>
          <t>VERIFIED.</t>
        </is>
      </c>
    </row>
    <row r="148" ht="34" customHeight="1">
      <c r="A148" s="12" t="inlineStr">
        <is>
          <t>8</t>
        </is>
      </c>
      <c r="B148" s="6" t="inlineStr">
        <is>
          <t>Cost -&gt; List -&gt; Selling / Net Price</t>
        </is>
      </c>
      <c r="C148" s="6" t="inlineStr">
        <is>
          <t>Displayed Net Each</t>
        </is>
      </c>
      <c r="D148" s="6" t="inlineStr">
        <is>
          <t>Quote Form</t>
        </is>
      </c>
      <c r="E148" s="6" t="inlineStr">
        <is>
          <t>F11</t>
        </is>
      </c>
      <c r="F148" s="6">
        <f>D11*(1-E11)</f>
        <v/>
      </c>
      <c r="G148" s="6" t="inlineStr">
        <is>
          <t>VERIFIED; equals Data!D6 for normal series; approximately 0.85*D6 for W.</t>
        </is>
      </c>
    </row>
    <row r="149" ht="34" customHeight="1">
      <c r="A149" s="12" t="inlineStr">
        <is>
          <t>8</t>
        </is>
      </c>
      <c r="B149" s="6" t="inlineStr">
        <is>
          <t>Cost -&gt; List -&gt; Selling / Net Price</t>
        </is>
      </c>
      <c r="C149" s="6" t="inlineStr">
        <is>
          <t>OrderEntry Net Each display</t>
        </is>
      </c>
      <c r="D149" s="6" t="inlineStr">
        <is>
          <t>OrderEntry</t>
        </is>
      </c>
      <c r="E149" s="6" t="inlineStr">
        <is>
          <t>ListBox1</t>
        </is>
      </c>
      <c r="F149" s="6" t="inlineStr">
        <is>
          <t>UserForm_Initialize sets RowSource = Data!D6.</t>
        </is>
      </c>
      <c r="G149" s="6" t="inlineStr">
        <is>
          <t>VERIFIED direct display.</t>
        </is>
      </c>
    </row>
    <row r="150" ht="34" customHeight="1">
      <c r="A150" s="12" t="inlineStr">
        <is>
          <t>8</t>
        </is>
      </c>
      <c r="B150" s="6" t="inlineStr">
        <is>
          <t>Cost -&gt; List -&gt; Selling / Net Price</t>
        </is>
      </c>
      <c r="C150" s="6" t="inlineStr">
        <is>
          <t>OrderEntry Profit display</t>
        </is>
      </c>
      <c r="D150" s="6" t="inlineStr">
        <is>
          <t>OrderEntry</t>
        </is>
      </c>
      <c r="E150" s="6" t="inlineStr">
        <is>
          <t>ListBox23</t>
        </is>
      </c>
      <c r="F150" s="6" t="inlineStr">
        <is>
          <t>UserForm_Initialize sets RowSource = Data!D7.</t>
        </is>
      </c>
      <c r="G150" s="6" t="inlineStr">
        <is>
          <t>VERIFIED direct display.</t>
        </is>
      </c>
    </row>
    <row r="151" ht="34" customHeight="1">
      <c r="A151" s="12" t="inlineStr">
        <is>
          <t>8</t>
        </is>
      </c>
      <c r="B151" s="6" t="inlineStr">
        <is>
          <t>Cost -&gt; List -&gt; Selling / Net Price</t>
        </is>
      </c>
      <c r="C151" s="6" t="inlineStr">
        <is>
          <t>Inventory/material cost</t>
        </is>
      </c>
      <c r="D151" s="6" t="inlineStr">
        <is>
          <t>Inventory</t>
        </is>
      </c>
      <c r="E151" s="6" t="inlineStr">
        <is>
          <t>E1</t>
        </is>
      </c>
      <c r="F151" s="6">
        <f>SUM(E2:E947); row allocations x unit prices</f>
        <v/>
      </c>
      <c r="G151" s="6" t="inlineStr">
        <is>
          <t>VERIFIED allocated inventory/material cost total.</t>
        </is>
      </c>
    </row>
    <row r="152" ht="34" customHeight="1">
      <c r="A152" s="12" t="inlineStr">
        <is>
          <t>8</t>
        </is>
      </c>
      <c r="B152" s="6" t="inlineStr">
        <is>
          <t>Cost -&gt; List -&gt; Selling / Net Price</t>
        </is>
      </c>
      <c r="C152" s="6" t="inlineStr">
        <is>
          <t>Labor estimate</t>
        </is>
      </c>
      <c r="D152" s="6" t="inlineStr">
        <is>
          <t>Quote Form</t>
        </is>
      </c>
      <c r="E152" s="6" t="inlineStr">
        <is>
          <t>I11</t>
        </is>
      </c>
      <c r="F152" s="6">
        <f>IF(F11&lt;1000,F11*0.4,F11*0.27)</f>
        <v/>
      </c>
      <c r="G152" s="6" t="inlineStr">
        <is>
          <t>VERIFIED percentage-of-selling-price estimate: 40% under 1000, 27% otherwise.</t>
        </is>
      </c>
    </row>
    <row r="153" ht="34" customHeight="1">
      <c r="A153" s="12" t="inlineStr">
        <is>
          <t>8</t>
        </is>
      </c>
      <c r="B153" s="6" t="inlineStr">
        <is>
          <t>Cost -&gt; List -&gt; Selling / Net Price</t>
        </is>
      </c>
      <c r="C153" s="6" t="inlineStr">
        <is>
          <t>Inventory display cost</t>
        </is>
      </c>
      <c r="D153" s="6" t="inlineStr">
        <is>
          <t>Quote Form</t>
        </is>
      </c>
      <c r="E153" s="6" t="inlineStr">
        <is>
          <t>J11</t>
        </is>
      </c>
      <c r="F153" s="6">
        <f>ROUNDUP(Inventory!E1,0)</f>
        <v/>
      </c>
      <c r="G153" s="6" t="inlineStr">
        <is>
          <t>VERIFIED.</t>
        </is>
      </c>
    </row>
    <row r="154" ht="34" customHeight="1">
      <c r="A154" s="12" t="inlineStr">
        <is>
          <t>8</t>
        </is>
      </c>
      <c r="B154" s="6" t="inlineStr">
        <is>
          <t>Cost -&gt; List -&gt; Selling / Net Price</t>
        </is>
      </c>
      <c r="C154" s="6" t="inlineStr">
        <is>
          <t>Profit dollars</t>
        </is>
      </c>
      <c r="D154" s="6" t="inlineStr">
        <is>
          <t>Quote Form</t>
        </is>
      </c>
      <c r="E154" s="6" t="inlineStr">
        <is>
          <t>H11</t>
        </is>
      </c>
      <c r="F154" s="6">
        <f>ROUNDUP(F11-J11-I11,0)</f>
        <v/>
      </c>
      <c r="G154" s="6" t="inlineStr">
        <is>
          <t>VERIFIED estimated profit dollars.</t>
        </is>
      </c>
    </row>
    <row r="155" ht="34" customHeight="1">
      <c r="A155" s="12" t="inlineStr">
        <is>
          <t>8</t>
        </is>
      </c>
      <c r="B155" s="6" t="inlineStr">
        <is>
          <t>Cost -&gt; List -&gt; Selling / Net Price</t>
        </is>
      </c>
      <c r="C155" s="6" t="inlineStr">
        <is>
          <t>Profit margin</t>
        </is>
      </c>
      <c r="D155" s="6" t="inlineStr">
        <is>
          <t>Quote Form</t>
        </is>
      </c>
      <c r="E155" s="6" t="inlineStr">
        <is>
          <t>H12</t>
        </is>
      </c>
      <c r="F155" s="6">
        <f>ROUNDDOWN(H11/F11,2)</f>
        <v/>
      </c>
      <c r="G155" s="6" t="inlineStr">
        <is>
          <t>VERIFIED estimated profit margin.</t>
        </is>
      </c>
    </row>
    <row r="156" ht="34" customHeight="1">
      <c r="A156" s="12" t="inlineStr">
        <is>
          <t>8</t>
        </is>
      </c>
      <c r="B156" s="6" t="inlineStr">
        <is>
          <t>Cost -&gt; List -&gt; Selling / Net Price</t>
        </is>
      </c>
      <c r="C156" s="6" t="inlineStr">
        <is>
          <t>OrderEntry profit estimate</t>
        </is>
      </c>
      <c r="D156" s="6" t="inlineStr">
        <is>
          <t>Data</t>
        </is>
      </c>
      <c r="E156" s="6" t="inlineStr">
        <is>
          <t>D7</t>
        </is>
      </c>
      <c r="F156" s="6">
        <f>ROUNDUP(D6-(IF(D6&lt;1000,D6*0.4,D6*0.27)+Inventory!E1),0)</f>
        <v/>
      </c>
      <c r="G156" s="6" t="inlineStr">
        <is>
          <t>VERIFIED; near-duplicate of Quote profit but differs for W and inventory rounding.</t>
        </is>
      </c>
    </row>
    <row r="157" ht="34" customHeight="1">
      <c r="A157" s="12" t="inlineStr">
        <is>
          <t>8</t>
        </is>
      </c>
      <c r="B157" s="6" t="inlineStr">
        <is>
          <t>Cost -&gt; List -&gt; Selling / Net Price</t>
        </is>
      </c>
      <c r="C157" s="6" t="inlineStr">
        <is>
          <t>Expedited price</t>
        </is>
      </c>
      <c r="D157" s="6" t="inlineStr">
        <is>
          <t>Quote Form</t>
        </is>
      </c>
      <c r="E157" s="6" t="inlineStr">
        <is>
          <t>F12</t>
        </is>
      </c>
      <c r="F157" s="6">
        <f>IF(F11="","",IF(F11&gt;1000,F11*1.3,F11*1.4))</f>
        <v/>
      </c>
      <c r="G157" s="6" t="inlineStr">
        <is>
          <t>VERIFIED: +30% above $1000; +40% at/below $1000.</t>
        </is>
      </c>
    </row>
    <row r="158" ht="34" customHeight="1">
      <c r="A158" s="12" t="inlineStr">
        <is>
          <t>8</t>
        </is>
      </c>
      <c r="B158" s="6" t="inlineStr">
        <is>
          <t>Cost -&gt; List -&gt; Selling / Net Price</t>
        </is>
      </c>
      <c r="C158" s="6" t="inlineStr">
        <is>
          <t>Emergency price</t>
        </is>
      </c>
      <c r="D158" s="6" t="inlineStr">
        <is>
          <t>Quote Form</t>
        </is>
      </c>
      <c r="E158" s="6" t="inlineStr">
        <is>
          <t>F13</t>
        </is>
      </c>
      <c r="F158" s="6">
        <f>F12*1.25</f>
        <v/>
      </c>
      <c r="G158" s="6" t="inlineStr">
        <is>
          <t>VERIFIED: +25% over expedited.</t>
        </is>
      </c>
    </row>
    <row r="159" ht="34" customHeight="1">
      <c r="A159" s="12" t="inlineStr">
        <is>
          <t>8</t>
        </is>
      </c>
      <c r="B159" s="6" t="inlineStr">
        <is>
          <t>Cost -&gt; List -&gt; Selling / Net Price</t>
        </is>
      </c>
      <c r="C159" s="6" t="inlineStr">
        <is>
          <t>W-series profit caveat</t>
        </is>
      </c>
      <c r="D159" s="6" t="inlineStr">
        <is>
          <t>Data / Quote Form</t>
        </is>
      </c>
      <c r="E159" s="6" t="inlineStr">
        <is>
          <t>D7 vs H11</t>
        </is>
      </c>
      <c r="F159" s="6" t="inlineStr">
        <is>
          <t>Data D7 uses D6; Quote H11 uses post-W F11.</t>
        </is>
      </c>
      <c r="G159" s="6" t="inlineStr">
        <is>
          <t>VERIFIED formulas can diverge for W.</t>
        </is>
      </c>
    </row>
    <row r="160" ht="34" customHeight="1">
      <c r="A160" s="12" t="inlineStr">
        <is>
          <t>8</t>
        </is>
      </c>
      <c r="B160" s="6" t="inlineStr">
        <is>
          <t>Cost -&gt; List -&gt; Selling / Net Price</t>
        </is>
      </c>
      <c r="C160" s="6" t="inlineStr">
        <is>
          <t>HTML abstraction</t>
        </is>
      </c>
      <c r="D160" s="6" t="inlineStr">
        <is>
          <t>Future pricing engine</t>
        </is>
      </c>
      <c r="E160" s="6" t="inlineStr">
        <is>
          <t>pricing_outputs</t>
        </is>
      </c>
      <c r="F160" s="6" t="inlineStr">
        <is>
          <t>Name configured net, list, standard net, inventory, labor, profit, expedited, emergency as separate outputs.</t>
        </is>
      </c>
      <c r="G160" s="6" t="inlineStr">
        <is>
          <t>VERIFIED design abstraction.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2026-08-10T17:04:27Z</dcterms:modified>
</cp:coreProperties>
</file>