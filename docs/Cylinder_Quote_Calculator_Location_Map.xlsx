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docs\"/>
    </mc:Choice>
  </mc:AlternateContent>
  <xr:revisionPtr revIDLastSave="0" documentId="13_ncr:1_{CE30D358-3717-4A10-A929-A8D8201EF923}" xr6:coauthVersionLast="47" xr6:coauthVersionMax="47" xr10:uidLastSave="{00000000-0000-0000-0000-000000000000}"/>
  <bookViews>
    <workbookView xWindow="-28920" yWindow="3075" windowWidth="29040" windowHeight="15720" xr2:uid="{00000000-000D-0000-FFFF-FFFF00000000}"/>
  </bookViews>
  <sheets>
    <sheet name="Dissection M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'Dissection Map'!$A$1:$G$34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9" i="1"/>
  <c r="F28" i="1"/>
  <c r="F27" i="1"/>
  <c r="F25" i="1"/>
  <c r="F24" i="1"/>
  <c r="F23" i="1"/>
  <c r="F22" i="1"/>
  <c r="F21" i="1"/>
  <c r="F20" i="1"/>
</calcChain>
</file>

<file path=xl/sharedStrings.xml><?xml version="1.0" encoding="utf-8"?>
<sst xmlns="http://schemas.openxmlformats.org/spreadsheetml/2006/main" count="221" uniqueCount="125">
  <si>
    <t>Section</t>
  </si>
  <si>
    <t>Investigation Area</t>
  </si>
  <si>
    <t>Purpose / Item</t>
  </si>
  <si>
    <t>Sheet / Layer</t>
  </si>
  <si>
    <t>Cell / Range / Control</t>
  </si>
  <si>
    <t>Formula / Logic / Finding</t>
  </si>
  <si>
    <t>Status / Notes</t>
  </si>
  <si>
    <t>1</t>
  </si>
  <si>
    <t>Cylinder Definition / User Inputs</t>
  </si>
  <si>
    <t>True user-entry point</t>
  </si>
  <si>
    <t>OrderEntry UserForm</t>
  </si>
  <si>
    <t>Form</t>
  </si>
  <si>
    <t>The form title is "JIT 2026 Pricing Calculator". User selections are written into workbook cells and those cells drive the downstream formulas.</t>
  </si>
  <si>
    <t>VERIFIED from recovered OrderEntry VBA and form definition.</t>
  </si>
  <si>
    <t>Customer</t>
  </si>
  <si>
    <t>OrderEntry -&gt; Customer</t>
  </si>
  <si>
    <t>ComboBox2 -&gt; Customer!B1</t>
  </si>
  <si>
    <t>ComboBox2_Change writes the selected customer to Customer!B1. RowSource is Customer!B3:G10000.</t>
  </si>
  <si>
    <t>VERIFIED</t>
  </si>
  <si>
    <t>Series</t>
  </si>
  <si>
    <t>OrderEntry -&gt; Data</t>
  </si>
  <si>
    <t>ComboBox6 -&gt; Data!B3</t>
  </si>
  <si>
    <t>Series control. RowSource ShipVia!H2:H12.</t>
  </si>
  <si>
    <t>Mount</t>
  </si>
  <si>
    <t>ComboBox5 -&gt; Data!B5</t>
  </si>
  <si>
    <t>Mount control. RowSource ShipVia!F2:F27.</t>
  </si>
  <si>
    <t>Bore</t>
  </si>
  <si>
    <t>ComboBox11 -&gt; Data!B4</t>
  </si>
  <si>
    <t>Bore control. RowSource ShipVia!D21:D36.</t>
  </si>
  <si>
    <t>Stroke</t>
  </si>
  <si>
    <t>TextBox22 -&gt; likely Data!B8</t>
  </si>
  <si>
    <t>Form label at the TextBox22 position is Stroke. Data!B8 is the workbook stroke input used by model and pricing formulas.</t>
  </si>
  <si>
    <t>STRONGLY INFERRED; direct ControlSource still to verify.</t>
  </si>
  <si>
    <t>Rod</t>
  </si>
  <si>
    <t>ComboBox7 -&gt; Data!B6</t>
  </si>
  <si>
    <t>Rod control. RowSource ShipVia!K1:K6.</t>
  </si>
  <si>
    <t>Rod Style / Thread</t>
  </si>
  <si>
    <t>ComboBox10 -&gt; Data!D15</t>
  </si>
  <si>
    <t>Form label is Style. RowSource ShipVia!D12:D16. D15 is used by model-code and rod-thread logic.</t>
  </si>
  <si>
    <t>Cushion</t>
  </si>
  <si>
    <t>ComboBox12 -&gt; Data!B7</t>
  </si>
  <si>
    <t>Cushion control. RowSource ShipVia!E18:E24.</t>
  </si>
  <si>
    <t>Ports</t>
  </si>
  <si>
    <t>ComboBox13 -&gt; Data!D2</t>
  </si>
  <si>
    <t>Ports control. RowSource ShipVia!E26:E29.</t>
  </si>
  <si>
    <t>Seal</t>
  </si>
  <si>
    <t>ComboBox9 -&gt; Data!B10</t>
  </si>
  <si>
    <t>Seal control. RowSource ShipVia!D6:D11.</t>
  </si>
  <si>
    <t>Double Rod End</t>
  </si>
  <si>
    <t>TextBox8 -&gt; likely Data!D18</t>
  </si>
  <si>
    <t>Form label is DRE (Y). Data!D18 is cleared when form initializes and drives the DRE model prefix plus the C5*0.65 pricing rule.</t>
  </si>
  <si>
    <t>Discount</t>
  </si>
  <si>
    <t>TextBoxDiscount -&gt; likely Data!D4</t>
  </si>
  <si>
    <t>Form label is Discount. Data!D4 is cleared when form initializes and is the discount/adjustment factor in D6/I13.</t>
  </si>
  <si>
    <t>Pressure</t>
  </si>
  <si>
    <t>ComboBox20 -&gt; Data!I16</t>
  </si>
  <si>
    <t>Pressure selection; RowSource Data!I22:I34.</t>
  </si>
  <si>
    <t>Special parts 1-6</t>
  </si>
  <si>
    <t>ComboBox14:19 -&gt; Data!F26:F31</t>
  </si>
  <si>
    <t>Each ComboBox writes its selected part into the matching F26:F31 row; RowSource ShipVia!A40:A500. Quantities appear adjacent on the form and Data G26:G31 is cleared on initialization.</t>
  </si>
  <si>
    <t>PART selection VERIFIED; quantity mapping inferred.</t>
  </si>
  <si>
    <t>Tie Rod Set</t>
  </si>
  <si>
    <t>ComboBox26 -&gt; Data!L59</t>
  </si>
  <si>
    <t>Tie Rod Set selection; RowSource Data!L60:L69.</t>
  </si>
  <si>
    <t>Form reset behavior</t>
  </si>
  <si>
    <t>OrderEntry VBA</t>
  </si>
  <si>
    <t>UserForm_Initialize</t>
  </si>
  <si>
    <t>Initialization clears Data B2:B29, D2, D4, D15, D18, G9:G25, F26:G32 and other working ranges before a new quote.</t>
  </si>
  <si>
    <t>VERIFIED; confirms Data is the working record populated from OrderEntry.</t>
  </si>
  <si>
    <t>Net Each display</t>
  </si>
  <si>
    <t>OrderEntry &lt;- Data</t>
  </si>
  <si>
    <t>ListBox1 &lt;- Data!D6</t>
  </si>
  <si>
    <t>The form reads Data!D6 into ListBox1, labeled Net Each. This directly links the form to the central calculated cost/net value.</t>
  </si>
  <si>
    <t>2</t>
  </si>
  <si>
    <t>Model-Code Generation</t>
  </si>
  <si>
    <t>Model code assembly</t>
  </si>
  <si>
    <t>Data</t>
  </si>
  <si>
    <t>A1</t>
  </si>
  <si>
    <t>VERIFIED; full Section 2 trace pending.</t>
  </si>
  <si>
    <t>Mount/DRE model segment</t>
  </si>
  <si>
    <t>E5</t>
  </si>
  <si>
    <t>4</t>
  </si>
  <si>
    <t>Base-Cylinder Component Cost</t>
  </si>
  <si>
    <t>Base component cost convergence</t>
  </si>
  <si>
    <t>C5</t>
  </si>
  <si>
    <t>5</t>
  </si>
  <si>
    <t>Stroke-Related Cost</t>
  </si>
  <si>
    <t>Stroke-related cost convergence</t>
  </si>
  <si>
    <t>C8</t>
  </si>
  <si>
    <t>6</t>
  </si>
  <si>
    <t>Accessories and Adders</t>
  </si>
  <si>
    <t>Accessory total</t>
  </si>
  <si>
    <t>H23</t>
  </si>
  <si>
    <t>Additional option total</t>
  </si>
  <si>
    <t>H33</t>
  </si>
  <si>
    <t>8</t>
  </si>
  <si>
    <t>Cost to List Price to Selling Price</t>
  </si>
  <si>
    <t>Central pricing convergence</t>
  </si>
  <si>
    <t>D6</t>
  </si>
  <si>
    <t>Combines C5+C8+C10+H23+H33+series option sheet totals; applies (1-D4); if D18 nonblank adds C5*0.65; then adds H24 and ROUNDUP(...,0).</t>
  </si>
  <si>
    <t>List price</t>
  </si>
  <si>
    <t>I13</t>
  </si>
  <si>
    <t>9</t>
  </si>
  <si>
    <t>Quote Presentation Logic</t>
  </si>
  <si>
    <t>Displayed list price</t>
  </si>
  <si>
    <t>Quote Form</t>
  </si>
  <si>
    <t>D11</t>
  </si>
  <si>
    <t>Standard sell price</t>
  </si>
  <si>
    <t>F11</t>
  </si>
  <si>
    <t>Expedited price</t>
  </si>
  <si>
    <t>F12</t>
  </si>
  <si>
    <t>Emergency price</t>
  </si>
  <si>
    <t>F13</t>
  </si>
  <si>
    <t>10</t>
  </si>
  <si>
    <t>VBA Workflow</t>
  </si>
  <si>
    <t>Quote button workflow</t>
  </si>
  <si>
    <t>CommandButton2_Click</t>
  </si>
  <si>
    <t>On Quote, VBA copies/sorts option selections, transfers selected option lines to Quote Form, restores quote formulas, updates ShipVia helper data, then returns to Quote Form.</t>
  </si>
  <si>
    <t>VERIFIED; detailed workflow deferred to Section 10.</t>
  </si>
  <si>
    <t>3</t>
  </si>
  <si>
    <t>Series Routing</t>
  </si>
  <si>
    <t>Section placeholder</t>
  </si>
  <si>
    <t>PENDING</t>
  </si>
  <si>
    <t>7</t>
  </si>
  <si>
    <t>Special-Order Pricing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</si>
</sst>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H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H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MH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H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H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showGridLines="0" tabSelected="1" workbookViewId="0">
      <pane ySplit="1" topLeftCell="A8" activePane="bottomLeft" state="frozen"/>
      <selection pane="bottomLeft" activeCell="F1" sqref="F1"/>
    </sheetView>
  </sheetViews>
  <sheetFormatPr defaultRowHeight="14.5" x14ac:dyDescent="0.35"/>
  <cols>
    <col min="1" max="1" width="9" customWidth="1"/>
    <col min="2" max="2" width="30" customWidth="1"/>
    <col min="3" max="3" width="28" customWidth="1"/>
    <col min="4" max="4" width="24" customWidth="1"/>
    <col min="5" max="5" width="32" customWidth="1"/>
    <col min="6" max="6" width="78" customWidth="1"/>
    <col min="7" max="7" width="38" customWidth="1"/>
  </cols>
  <sheetData>
    <row r="1" spans="1:7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29" x14ac:dyDescent="0.3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18</v>
      </c>
    </row>
    <row r="4" spans="1:7" x14ac:dyDescent="0.35">
      <c r="A4" s="2" t="s">
        <v>7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3" t="s">
        <v>18</v>
      </c>
    </row>
    <row r="5" spans="1:7" x14ac:dyDescent="0.35">
      <c r="A5" s="2" t="s">
        <v>7</v>
      </c>
      <c r="B5" s="2" t="s">
        <v>8</v>
      </c>
      <c r="C5" s="2" t="s">
        <v>23</v>
      </c>
      <c r="D5" s="2" t="s">
        <v>20</v>
      </c>
      <c r="E5" s="2" t="s">
        <v>24</v>
      </c>
      <c r="F5" s="2" t="s">
        <v>25</v>
      </c>
      <c r="G5" s="3" t="s">
        <v>18</v>
      </c>
    </row>
    <row r="6" spans="1:7" x14ac:dyDescent="0.35">
      <c r="A6" s="2" t="s">
        <v>7</v>
      </c>
      <c r="B6" s="2" t="s">
        <v>8</v>
      </c>
      <c r="C6" s="2" t="s">
        <v>26</v>
      </c>
      <c r="D6" s="2" t="s">
        <v>20</v>
      </c>
      <c r="E6" s="2" t="s">
        <v>27</v>
      </c>
      <c r="F6" s="2" t="s">
        <v>28</v>
      </c>
      <c r="G6" s="3" t="s">
        <v>18</v>
      </c>
    </row>
    <row r="7" spans="1:7" ht="29" x14ac:dyDescent="0.35">
      <c r="A7" s="2" t="s">
        <v>7</v>
      </c>
      <c r="B7" s="2" t="s">
        <v>8</v>
      </c>
      <c r="C7" s="2" t="s">
        <v>29</v>
      </c>
      <c r="D7" s="2" t="s">
        <v>20</v>
      </c>
      <c r="E7" s="2" t="s">
        <v>30</v>
      </c>
      <c r="F7" s="2" t="s">
        <v>31</v>
      </c>
      <c r="G7" s="4" t="s">
        <v>32</v>
      </c>
    </row>
    <row r="8" spans="1:7" x14ac:dyDescent="0.35">
      <c r="A8" s="2" t="s">
        <v>7</v>
      </c>
      <c r="B8" s="2" t="s">
        <v>8</v>
      </c>
      <c r="C8" s="2" t="s">
        <v>33</v>
      </c>
      <c r="D8" s="2" t="s">
        <v>20</v>
      </c>
      <c r="E8" s="2" t="s">
        <v>34</v>
      </c>
      <c r="F8" s="2" t="s">
        <v>35</v>
      </c>
      <c r="G8" s="3" t="s">
        <v>18</v>
      </c>
    </row>
    <row r="9" spans="1:7" ht="29" x14ac:dyDescent="0.35">
      <c r="A9" s="2" t="s">
        <v>7</v>
      </c>
      <c r="B9" s="2" t="s">
        <v>8</v>
      </c>
      <c r="C9" s="2" t="s">
        <v>36</v>
      </c>
      <c r="D9" s="2" t="s">
        <v>20</v>
      </c>
      <c r="E9" s="2" t="s">
        <v>37</v>
      </c>
      <c r="F9" s="2" t="s">
        <v>38</v>
      </c>
      <c r="G9" s="3" t="s">
        <v>18</v>
      </c>
    </row>
    <row r="10" spans="1:7" x14ac:dyDescent="0.35">
      <c r="A10" s="2" t="s">
        <v>7</v>
      </c>
      <c r="B10" s="2" t="s">
        <v>8</v>
      </c>
      <c r="C10" s="2" t="s">
        <v>39</v>
      </c>
      <c r="D10" s="2" t="s">
        <v>20</v>
      </c>
      <c r="E10" s="2" t="s">
        <v>40</v>
      </c>
      <c r="F10" s="2" t="s">
        <v>41</v>
      </c>
      <c r="G10" s="3" t="s">
        <v>18</v>
      </c>
    </row>
    <row r="11" spans="1:7" x14ac:dyDescent="0.35">
      <c r="A11" s="2" t="s">
        <v>7</v>
      </c>
      <c r="B11" s="2" t="s">
        <v>8</v>
      </c>
      <c r="C11" s="2" t="s">
        <v>42</v>
      </c>
      <c r="D11" s="2" t="s">
        <v>20</v>
      </c>
      <c r="E11" s="2" t="s">
        <v>43</v>
      </c>
      <c r="F11" s="2" t="s">
        <v>44</v>
      </c>
      <c r="G11" s="3" t="s">
        <v>18</v>
      </c>
    </row>
    <row r="12" spans="1:7" x14ac:dyDescent="0.35">
      <c r="A12" s="2" t="s">
        <v>7</v>
      </c>
      <c r="B12" s="2" t="s">
        <v>8</v>
      </c>
      <c r="C12" s="2" t="s">
        <v>45</v>
      </c>
      <c r="D12" s="2" t="s">
        <v>20</v>
      </c>
      <c r="E12" s="2" t="s">
        <v>46</v>
      </c>
      <c r="F12" s="2" t="s">
        <v>47</v>
      </c>
      <c r="G12" s="3" t="s">
        <v>18</v>
      </c>
    </row>
    <row r="13" spans="1:7" ht="29" x14ac:dyDescent="0.35">
      <c r="A13" s="2" t="s">
        <v>7</v>
      </c>
      <c r="B13" s="2" t="s">
        <v>8</v>
      </c>
      <c r="C13" s="2" t="s">
        <v>48</v>
      </c>
      <c r="D13" s="2" t="s">
        <v>20</v>
      </c>
      <c r="E13" s="2" t="s">
        <v>49</v>
      </c>
      <c r="F13" s="2" t="s">
        <v>50</v>
      </c>
      <c r="G13" s="4" t="s">
        <v>32</v>
      </c>
    </row>
    <row r="14" spans="1:7" ht="29" x14ac:dyDescent="0.35">
      <c r="A14" s="2" t="s">
        <v>7</v>
      </c>
      <c r="B14" s="2" t="s">
        <v>8</v>
      </c>
      <c r="C14" s="2" t="s">
        <v>51</v>
      </c>
      <c r="D14" s="2" t="s">
        <v>20</v>
      </c>
      <c r="E14" s="2" t="s">
        <v>52</v>
      </c>
      <c r="F14" s="2" t="s">
        <v>53</v>
      </c>
      <c r="G14" s="4" t="s">
        <v>32</v>
      </c>
    </row>
    <row r="15" spans="1:7" x14ac:dyDescent="0.35">
      <c r="A15" s="2" t="s">
        <v>7</v>
      </c>
      <c r="B15" s="2" t="s">
        <v>8</v>
      </c>
      <c r="C15" s="2" t="s">
        <v>54</v>
      </c>
      <c r="D15" s="2" t="s">
        <v>20</v>
      </c>
      <c r="E15" s="2" t="s">
        <v>55</v>
      </c>
      <c r="F15" s="2" t="s">
        <v>56</v>
      </c>
      <c r="G15" s="3" t="s">
        <v>18</v>
      </c>
    </row>
    <row r="16" spans="1:7" ht="43.5" x14ac:dyDescent="0.35">
      <c r="A16" s="2" t="s">
        <v>7</v>
      </c>
      <c r="B16" s="2" t="s">
        <v>8</v>
      </c>
      <c r="C16" s="2" t="s">
        <v>57</v>
      </c>
      <c r="D16" s="2" t="s">
        <v>20</v>
      </c>
      <c r="E16" s="2" t="s">
        <v>58</v>
      </c>
      <c r="F16" s="2" t="s">
        <v>59</v>
      </c>
      <c r="G16" s="3" t="s">
        <v>60</v>
      </c>
    </row>
    <row r="17" spans="1:7" x14ac:dyDescent="0.35">
      <c r="A17" s="2" t="s">
        <v>7</v>
      </c>
      <c r="B17" s="2" t="s">
        <v>8</v>
      </c>
      <c r="C17" s="2" t="s">
        <v>61</v>
      </c>
      <c r="D17" s="2" t="s">
        <v>20</v>
      </c>
      <c r="E17" s="2" t="s">
        <v>62</v>
      </c>
      <c r="F17" s="2" t="s">
        <v>63</v>
      </c>
      <c r="G17" s="3" t="s">
        <v>18</v>
      </c>
    </row>
    <row r="18" spans="1:7" ht="29" x14ac:dyDescent="0.35">
      <c r="A18" s="2" t="s">
        <v>7</v>
      </c>
      <c r="B18" s="2" t="s">
        <v>8</v>
      </c>
      <c r="C18" s="2" t="s">
        <v>64</v>
      </c>
      <c r="D18" s="2" t="s">
        <v>65</v>
      </c>
      <c r="E18" s="2" t="s">
        <v>66</v>
      </c>
      <c r="F18" s="2" t="s">
        <v>67</v>
      </c>
      <c r="G18" s="3" t="s">
        <v>68</v>
      </c>
    </row>
    <row r="19" spans="1:7" ht="29" x14ac:dyDescent="0.35">
      <c r="A19" s="2" t="s">
        <v>7</v>
      </c>
      <c r="B19" s="2" t="s">
        <v>8</v>
      </c>
      <c r="C19" s="2" t="s">
        <v>69</v>
      </c>
      <c r="D19" s="2" t="s">
        <v>70</v>
      </c>
      <c r="E19" s="2" t="s">
        <v>71</v>
      </c>
      <c r="F19" s="2" t="s">
        <v>72</v>
      </c>
      <c r="G19" s="3" t="s">
        <v>18</v>
      </c>
    </row>
    <row r="20" spans="1:7" x14ac:dyDescent="0.35">
      <c r="A20" s="2" t="s">
        <v>73</v>
      </c>
      <c r="B20" s="2" t="s">
        <v>74</v>
      </c>
      <c r="C20" s="2" t="s">
        <v>75</v>
      </c>
      <c r="D20" s="2" t="s">
        <v>76</v>
      </c>
      <c r="E20" s="2" t="s">
        <v>77</v>
      </c>
      <c r="F20" s="2" t="str">
        <f>CONCATENATE(B3,B1,E5,B1,B4,C1,B8,C1,B6,B1,D15,B1,B7,B1,D2,B1,B10,B1,"S")</f>
        <v>Cylinder Definition / User InputsInvestigation AreaComboBox5 -&gt; Data!B5Investigation AreaCylinder Definition / User InputsPurpose / ItemCylinder Definition / User InputsPurpose / ItemCylinder Definition / User InputsInvestigation AreaOrderEntry -&gt; DataInvestigation AreaCylinder Definition / User InputsInvestigation AreaOrderEntry UserFormInvestigation AreaCylinder Definition / User InputsInvestigation AreaS</v>
      </c>
      <c r="G20" s="3" t="s">
        <v>78</v>
      </c>
    </row>
    <row r="21" spans="1:7" x14ac:dyDescent="0.35">
      <c r="A21" s="2" t="s">
        <v>73</v>
      </c>
      <c r="B21" s="2" t="s">
        <v>74</v>
      </c>
      <c r="C21" s="2" t="s">
        <v>79</v>
      </c>
      <c r="D21" s="2" t="s">
        <v>76</v>
      </c>
      <c r="E21" s="2" t="s">
        <v>80</v>
      </c>
      <c r="F21" s="2" t="str">
        <f>IF(D18="",B5,CONCATENATE("DRE/",B5))</f>
        <v>DRE/Cylinder Definition / User Inputs</v>
      </c>
      <c r="G21" s="3" t="s">
        <v>18</v>
      </c>
    </row>
    <row r="22" spans="1:7" ht="29" x14ac:dyDescent="0.35">
      <c r="A22" s="2" t="s">
        <v>81</v>
      </c>
      <c r="B22" s="2" t="s">
        <v>82</v>
      </c>
      <c r="C22" s="2" t="s">
        <v>83</v>
      </c>
      <c r="D22" s="2" t="s">
        <v>76</v>
      </c>
      <c r="E22" s="2" t="s">
        <v>84</v>
      </c>
      <c r="F22" s="2" t="e">
        <f>[1]H!Q52+[2]A!Q53+[3]MH!O52+[4]PH!J34+[5]IH!Q36+[6]IMH!O27</f>
        <v>#REF!</v>
      </c>
      <c r="G22" s="3" t="s">
        <v>18</v>
      </c>
    </row>
    <row r="23" spans="1:7" x14ac:dyDescent="0.35">
      <c r="A23" s="2" t="s">
        <v>85</v>
      </c>
      <c r="B23" s="2" t="s">
        <v>86</v>
      </c>
      <c r="C23" s="2" t="s">
        <v>87</v>
      </c>
      <c r="D23" s="2" t="s">
        <v>76</v>
      </c>
      <c r="E23" s="2" t="s">
        <v>88</v>
      </c>
      <c r="F23" s="2" t="e">
        <f>[1]H!W52+[2]A!W53+[3]MH!S52+[4]PH!N34+[5]IH!W36+[6]IMH!S27</f>
        <v>#REF!</v>
      </c>
      <c r="G23" s="3" t="s">
        <v>18</v>
      </c>
    </row>
    <row r="24" spans="1:7" x14ac:dyDescent="0.35">
      <c r="A24" s="2" t="s">
        <v>89</v>
      </c>
      <c r="B24" s="2" t="s">
        <v>90</v>
      </c>
      <c r="C24" s="2" t="s">
        <v>91</v>
      </c>
      <c r="D24" s="2" t="s">
        <v>76</v>
      </c>
      <c r="E24" s="2" t="s">
        <v>92</v>
      </c>
      <c r="F24" s="2">
        <f>SUM(H8:H22)+H25</f>
        <v>0</v>
      </c>
      <c r="G24" s="3" t="s">
        <v>18</v>
      </c>
    </row>
    <row r="25" spans="1:7" x14ac:dyDescent="0.35">
      <c r="A25" s="2" t="s">
        <v>89</v>
      </c>
      <c r="B25" s="2" t="s">
        <v>90</v>
      </c>
      <c r="C25" s="2" t="s">
        <v>93</v>
      </c>
      <c r="D25" s="2" t="s">
        <v>76</v>
      </c>
      <c r="E25" s="2" t="s">
        <v>94</v>
      </c>
      <c r="F25" s="2">
        <f>SUM(H26:H32)</f>
        <v>0</v>
      </c>
      <c r="G25" s="3" t="s">
        <v>18</v>
      </c>
    </row>
    <row r="26" spans="1:7" ht="29" x14ac:dyDescent="0.35">
      <c r="A26" s="2" t="s">
        <v>95</v>
      </c>
      <c r="B26" s="2" t="s">
        <v>96</v>
      </c>
      <c r="C26" s="2" t="s">
        <v>97</v>
      </c>
      <c r="D26" s="2" t="s">
        <v>76</v>
      </c>
      <c r="E26" s="2" t="s">
        <v>98</v>
      </c>
      <c r="F26" s="2" t="s">
        <v>99</v>
      </c>
      <c r="G26" s="3" t="s">
        <v>18</v>
      </c>
    </row>
    <row r="27" spans="1:7" x14ac:dyDescent="0.35">
      <c r="A27" s="2" t="s">
        <v>95</v>
      </c>
      <c r="B27" s="2" t="s">
        <v>96</v>
      </c>
      <c r="C27" s="2" t="s">
        <v>100</v>
      </c>
      <c r="D27" s="2" t="s">
        <v>76</v>
      </c>
      <c r="E27" s="2" t="s">
        <v>101</v>
      </c>
      <c r="F27" s="2" t="e">
        <f>D6/(1-D4)</f>
        <v>#VALUE!</v>
      </c>
      <c r="G27" s="3" t="s">
        <v>18</v>
      </c>
    </row>
    <row r="28" spans="1:7" x14ac:dyDescent="0.35">
      <c r="A28" s="2" t="s">
        <v>102</v>
      </c>
      <c r="B28" s="2" t="s">
        <v>103</v>
      </c>
      <c r="C28" s="2" t="s">
        <v>104</v>
      </c>
      <c r="D28" s="2" t="s">
        <v>105</v>
      </c>
      <c r="E28" s="2" t="s">
        <v>106</v>
      </c>
      <c r="F28" s="2" t="e">
        <f>IF([7]Data!B3="W",[7]Data!I13*0.85,[7]Data!I13)</f>
        <v>#REF!</v>
      </c>
      <c r="G28" s="3" t="s">
        <v>18</v>
      </c>
    </row>
    <row r="29" spans="1:7" x14ac:dyDescent="0.35">
      <c r="A29" s="2" t="s">
        <v>102</v>
      </c>
      <c r="B29" s="2" t="s">
        <v>103</v>
      </c>
      <c r="C29" s="2" t="s">
        <v>107</v>
      </c>
      <c r="D29" s="2" t="s">
        <v>105</v>
      </c>
      <c r="E29" s="2" t="s">
        <v>108</v>
      </c>
      <c r="F29" s="2" t="e">
        <f>D11*(1-E11)</f>
        <v>#VALUE!</v>
      </c>
      <c r="G29" s="3" t="s">
        <v>18</v>
      </c>
    </row>
    <row r="30" spans="1:7" x14ac:dyDescent="0.35">
      <c r="A30" s="2" t="s">
        <v>102</v>
      </c>
      <c r="B30" s="2" t="s">
        <v>103</v>
      </c>
      <c r="C30" s="2" t="s">
        <v>109</v>
      </c>
      <c r="D30" s="2" t="s">
        <v>105</v>
      </c>
      <c r="E30" s="2" t="s">
        <v>110</v>
      </c>
      <c r="F30" s="2" t="e">
        <f>IF(F11="","",IF(F11&gt;1000,F11*1.3,F11*1.4))</f>
        <v>#VALUE!</v>
      </c>
      <c r="G30" s="3" t="s">
        <v>18</v>
      </c>
    </row>
    <row r="31" spans="1:7" x14ac:dyDescent="0.35">
      <c r="A31" s="2" t="s">
        <v>102</v>
      </c>
      <c r="B31" s="2" t="s">
        <v>103</v>
      </c>
      <c r="C31" s="2" t="s">
        <v>111</v>
      </c>
      <c r="D31" s="2" t="s">
        <v>105</v>
      </c>
      <c r="E31" s="2" t="s">
        <v>112</v>
      </c>
      <c r="F31" s="2" t="e">
        <f>F12*1.25</f>
        <v>#VALUE!</v>
      </c>
      <c r="G31" s="3" t="s">
        <v>18</v>
      </c>
    </row>
    <row r="32" spans="1:7" ht="29" x14ac:dyDescent="0.35">
      <c r="A32" s="2" t="s">
        <v>113</v>
      </c>
      <c r="B32" s="2" t="s">
        <v>114</v>
      </c>
      <c r="C32" s="2" t="s">
        <v>115</v>
      </c>
      <c r="D32" s="2" t="s">
        <v>65</v>
      </c>
      <c r="E32" s="2" t="s">
        <v>116</v>
      </c>
      <c r="F32" s="2" t="s">
        <v>117</v>
      </c>
      <c r="G32" s="3" t="s">
        <v>118</v>
      </c>
    </row>
    <row r="33" spans="1:7" x14ac:dyDescent="0.35">
      <c r="A33" s="2" t="s">
        <v>119</v>
      </c>
      <c r="B33" s="2" t="s">
        <v>120</v>
      </c>
      <c r="C33" s="2" t="s">
        <v>121</v>
      </c>
      <c r="D33" s="2"/>
      <c r="E33" s="2"/>
      <c r="F33" s="2"/>
      <c r="G33" s="2" t="s">
        <v>122</v>
      </c>
    </row>
    <row r="34" spans="1:7" x14ac:dyDescent="0.35">
      <c r="A34" s="2" t="s">
        <v>123</v>
      </c>
      <c r="B34" s="2" t="s">
        <v>124</v>
      </c>
      <c r="C34" s="2" t="s">
        <v>121</v>
      </c>
      <c r="D34" s="2"/>
      <c r="E34" s="2"/>
      <c r="F34" s="2"/>
      <c r="G34" s="2" t="s">
        <v>122</v>
      </c>
    </row>
  </sheetData>
  <autoFilter ref="A1:G3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Dissection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Whiteside</cp:lastModifiedBy>
  <dcterms:created xsi:type="dcterms:W3CDTF">2026-08-10T16:22:10Z</dcterms:created>
  <dcterms:modified xsi:type="dcterms:W3CDTF">2026-09-03T18:05:49Z</dcterms:modified>
</cp:coreProperties>
</file>