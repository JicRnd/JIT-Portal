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"/>
    </mc:Choice>
  </mc:AlternateContent>
  <xr:revisionPtr revIDLastSave="0" documentId="8_{5AE69EB7-F565-45B3-B1BA-BBA9E3ECC1D6}" xr6:coauthVersionLast="47" xr6:coauthVersionMax="47" xr10:uidLastSave="{00000000-0000-0000-0000-000000000000}"/>
  <bookViews>
    <workbookView xWindow="-110" yWindow="-110" windowWidth="25820" windowHeight="15500" activeTab="1" xr2:uid="{E77FC038-4D60-459B-9C56-1EAE9F9E8296}"/>
  </bookViews>
  <sheets>
    <sheet name="Quote Form" sheetId="1" r:id="rId1"/>
    <sheet name="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84" i="2" l="1"/>
  <c r="V84" i="2"/>
  <c r="W83" i="2"/>
  <c r="V83" i="2"/>
  <c r="W82" i="2"/>
  <c r="V82" i="2"/>
  <c r="W81" i="2"/>
  <c r="V81" i="2"/>
  <c r="W80" i="2"/>
  <c r="V80" i="2"/>
  <c r="W79" i="2"/>
  <c r="V79" i="2"/>
  <c r="W78" i="2"/>
  <c r="V78" i="2"/>
  <c r="W77" i="2"/>
  <c r="V77" i="2"/>
  <c r="W76" i="2"/>
  <c r="V76" i="2"/>
  <c r="W75" i="2"/>
  <c r="W85" i="2" s="1"/>
  <c r="V75" i="2"/>
  <c r="V85" i="2" s="1"/>
  <c r="D74" i="2"/>
  <c r="C74" i="2"/>
  <c r="D73" i="2"/>
  <c r="C73" i="2"/>
  <c r="D72" i="2"/>
  <c r="C72" i="2"/>
  <c r="D71" i="2"/>
  <c r="C71" i="2"/>
  <c r="D70" i="2"/>
  <c r="C70" i="2"/>
  <c r="N69" i="2"/>
  <c r="D69" i="2"/>
  <c r="C69" i="2"/>
  <c r="N68" i="2"/>
  <c r="D68" i="2"/>
  <c r="C68" i="2"/>
  <c r="N67" i="2"/>
  <c r="D67" i="2"/>
  <c r="C67" i="2"/>
  <c r="N66" i="2"/>
  <c r="D66" i="2"/>
  <c r="C66" i="2"/>
  <c r="N65" i="2"/>
  <c r="D65" i="2"/>
  <c r="C65" i="2"/>
  <c r="N64" i="2"/>
  <c r="D64" i="2"/>
  <c r="C64" i="2"/>
  <c r="N63" i="2"/>
  <c r="D63" i="2"/>
  <c r="C63" i="2"/>
  <c r="N62" i="2"/>
  <c r="D62" i="2"/>
  <c r="C62" i="2"/>
  <c r="N61" i="2"/>
  <c r="D61" i="2"/>
  <c r="C61" i="2"/>
  <c r="N60" i="2"/>
  <c r="N70" i="2" s="1"/>
  <c r="D60" i="2"/>
  <c r="C60" i="2"/>
  <c r="D59" i="2"/>
  <c r="C59" i="2"/>
  <c r="D58" i="2"/>
  <c r="C58" i="2"/>
  <c r="D57" i="2"/>
  <c r="C57" i="2"/>
  <c r="D56" i="2"/>
  <c r="C56" i="2"/>
  <c r="X55" i="2"/>
  <c r="D55" i="2"/>
  <c r="C55" i="2"/>
  <c r="X54" i="2"/>
  <c r="X56" i="2" s="1"/>
  <c r="S49" i="2" s="1"/>
  <c r="D27" i="2" s="1"/>
  <c r="D54" i="2"/>
  <c r="C54" i="2"/>
  <c r="X53" i="2"/>
  <c r="D53" i="2"/>
  <c r="C53" i="2"/>
  <c r="X52" i="2"/>
  <c r="D52" i="2"/>
  <c r="C52" i="2"/>
  <c r="X51" i="2"/>
  <c r="D51" i="2"/>
  <c r="C51" i="2"/>
  <c r="X50" i="2"/>
  <c r="N50" i="2"/>
  <c r="D50" i="2"/>
  <c r="C50" i="2"/>
  <c r="X49" i="2"/>
  <c r="N49" i="2"/>
  <c r="D49" i="2"/>
  <c r="C49" i="2"/>
  <c r="AD48" i="2"/>
  <c r="S48" i="2"/>
  <c r="N48" i="2"/>
  <c r="D48" i="2"/>
  <c r="C48" i="2"/>
  <c r="AD47" i="2"/>
  <c r="S47" i="2"/>
  <c r="N47" i="2"/>
  <c r="D47" i="2"/>
  <c r="C47" i="2"/>
  <c r="AD46" i="2"/>
  <c r="S46" i="2"/>
  <c r="N46" i="2"/>
  <c r="D46" i="2"/>
  <c r="C46" i="2"/>
  <c r="AE45" i="2"/>
  <c r="AD45" i="2"/>
  <c r="S45" i="2"/>
  <c r="N45" i="2"/>
  <c r="D45" i="2"/>
  <c r="C45" i="2"/>
  <c r="AE44" i="2"/>
  <c r="AD44" i="2"/>
  <c r="S44" i="2"/>
  <c r="N44" i="2"/>
  <c r="D44" i="2"/>
  <c r="C44" i="2"/>
  <c r="AE43" i="2"/>
  <c r="AD43" i="2"/>
  <c r="S43" i="2"/>
  <c r="N43" i="2"/>
  <c r="D43" i="2"/>
  <c r="C43" i="2"/>
  <c r="AE42" i="2"/>
  <c r="AD42" i="2"/>
  <c r="S42" i="2"/>
  <c r="N42" i="2"/>
  <c r="D42" i="2"/>
  <c r="C42" i="2"/>
  <c r="AE41" i="2"/>
  <c r="AD41" i="2"/>
  <c r="S41" i="2"/>
  <c r="N41" i="2"/>
  <c r="D41" i="2"/>
  <c r="C41" i="2"/>
  <c r="AE40" i="2"/>
  <c r="AD40" i="2"/>
  <c r="S40" i="2"/>
  <c r="D40" i="2"/>
  <c r="C40" i="2"/>
  <c r="AE39" i="2"/>
  <c r="AD39" i="2"/>
  <c r="S39" i="2"/>
  <c r="D39" i="2"/>
  <c r="C39" i="2"/>
  <c r="AE38" i="2"/>
  <c r="AD38" i="2"/>
  <c r="S38" i="2"/>
  <c r="D38" i="2"/>
  <c r="C38" i="2"/>
  <c r="AE37" i="2"/>
  <c r="AD37" i="2"/>
  <c r="S37" i="2"/>
  <c r="D37" i="2"/>
  <c r="C37" i="2"/>
  <c r="AE36" i="2"/>
  <c r="AD36" i="2"/>
  <c r="S36" i="2"/>
  <c r="D36" i="2"/>
  <c r="C36" i="2"/>
  <c r="AE35" i="2"/>
  <c r="AD35" i="2"/>
  <c r="S35" i="2"/>
  <c r="D35" i="2"/>
  <c r="C35" i="2"/>
  <c r="AE34" i="2"/>
  <c r="AD34" i="2"/>
  <c r="S34" i="2"/>
  <c r="D34" i="2"/>
  <c r="C34" i="2"/>
  <c r="AE33" i="2"/>
  <c r="AD33" i="2"/>
  <c r="S33" i="2"/>
  <c r="AE32" i="2"/>
  <c r="AD32" i="2"/>
  <c r="S32" i="2"/>
  <c r="AE31" i="2"/>
  <c r="AD31" i="2"/>
  <c r="S31" i="2"/>
  <c r="M31" i="2"/>
  <c r="H31" i="2"/>
  <c r="M30" i="2"/>
  <c r="H30" i="2"/>
  <c r="D30" i="2"/>
  <c r="M29" i="2"/>
  <c r="H29" i="2"/>
  <c r="M28" i="2"/>
  <c r="H28" i="2"/>
  <c r="D28" i="2"/>
  <c r="M27" i="2"/>
  <c r="H27" i="2"/>
  <c r="M26" i="2"/>
  <c r="H26" i="2"/>
  <c r="H33" i="2" s="1"/>
  <c r="Q25" i="2"/>
  <c r="M25" i="2"/>
  <c r="H25" i="2"/>
  <c r="Q24" i="2"/>
  <c r="M24" i="2"/>
  <c r="M23" i="2"/>
  <c r="D23" i="2"/>
  <c r="M22" i="2"/>
  <c r="H22" i="2"/>
  <c r="H23" i="2" s="1"/>
  <c r="M21" i="2"/>
  <c r="N9" i="2" s="1"/>
  <c r="H21" i="2"/>
  <c r="M20" i="2"/>
  <c r="H20" i="2"/>
  <c r="P19" i="2"/>
  <c r="M19" i="2"/>
  <c r="H19" i="2"/>
  <c r="M18" i="2"/>
  <c r="H18" i="2"/>
  <c r="M17" i="2"/>
  <c r="H17" i="2"/>
  <c r="M16" i="2"/>
  <c r="I16" i="2"/>
  <c r="H16" i="2"/>
  <c r="M15" i="2"/>
  <c r="H15" i="2"/>
  <c r="M14" i="2"/>
  <c r="I14" i="2"/>
  <c r="H14" i="2"/>
  <c r="M13" i="2"/>
  <c r="H13" i="2"/>
  <c r="M12" i="2"/>
  <c r="H12" i="2"/>
  <c r="M11" i="2"/>
  <c r="H11" i="2"/>
  <c r="N10" i="2"/>
  <c r="M10" i="2"/>
  <c r="H10" i="2"/>
  <c r="M9" i="2"/>
  <c r="H9" i="2"/>
  <c r="D9" i="2"/>
  <c r="N8" i="2"/>
  <c r="M8" i="2"/>
  <c r="C8" i="2"/>
  <c r="D6" i="2" s="1"/>
  <c r="M7" i="2"/>
  <c r="N7" i="2" s="1"/>
  <c r="N6" i="2" s="1"/>
  <c r="E5" i="2"/>
  <c r="A1" i="2" s="1"/>
  <c r="C5" i="2"/>
  <c r="M2" i="2"/>
  <c r="N2" i="2" s="1"/>
  <c r="L2" i="2"/>
  <c r="I1" i="2"/>
  <c r="CC98" i="1"/>
  <c r="CB98" i="1"/>
  <c r="CA98" i="1"/>
  <c r="BZ98" i="1"/>
  <c r="BY98" i="1"/>
  <c r="BX98" i="1"/>
  <c r="BW98" i="1"/>
  <c r="CC97" i="1"/>
  <c r="CB97" i="1"/>
  <c r="CA97" i="1"/>
  <c r="BZ97" i="1"/>
  <c r="BY97" i="1"/>
  <c r="BX97" i="1"/>
  <c r="BW97" i="1"/>
  <c r="CC96" i="1"/>
  <c r="CB96" i="1"/>
  <c r="CA96" i="1"/>
  <c r="BZ96" i="1"/>
  <c r="BY96" i="1"/>
  <c r="BX96" i="1"/>
  <c r="BW96" i="1"/>
  <c r="CC95" i="1"/>
  <c r="CB95" i="1"/>
  <c r="CA95" i="1"/>
  <c r="BZ95" i="1"/>
  <c r="BY95" i="1"/>
  <c r="BX95" i="1"/>
  <c r="BW95" i="1"/>
  <c r="CC94" i="1"/>
  <c r="CB94" i="1"/>
  <c r="CA94" i="1"/>
  <c r="BZ94" i="1"/>
  <c r="BY94" i="1"/>
  <c r="BX94" i="1"/>
  <c r="BW94" i="1"/>
  <c r="CC93" i="1"/>
  <c r="CB93" i="1"/>
  <c r="CA93" i="1"/>
  <c r="BZ93" i="1"/>
  <c r="BY93" i="1"/>
  <c r="BX93" i="1"/>
  <c r="BW93" i="1"/>
  <c r="CC92" i="1"/>
  <c r="CB92" i="1"/>
  <c r="CA92" i="1"/>
  <c r="BZ92" i="1"/>
  <c r="BY92" i="1"/>
  <c r="BX92" i="1"/>
  <c r="BW92" i="1"/>
  <c r="CC91" i="1"/>
  <c r="CB91" i="1"/>
  <c r="CA91" i="1"/>
  <c r="BZ91" i="1"/>
  <c r="BY91" i="1"/>
  <c r="BX91" i="1"/>
  <c r="BW91" i="1"/>
  <c r="CC90" i="1"/>
  <c r="CB90" i="1"/>
  <c r="CA90" i="1"/>
  <c r="BZ90" i="1"/>
  <c r="BY90" i="1"/>
  <c r="BX90" i="1"/>
  <c r="BW90" i="1"/>
  <c r="CC89" i="1"/>
  <c r="CB89" i="1"/>
  <c r="CA89" i="1"/>
  <c r="BZ89" i="1"/>
  <c r="BY89" i="1"/>
  <c r="BX89" i="1"/>
  <c r="BW89" i="1"/>
  <c r="CC88" i="1"/>
  <c r="CB88" i="1"/>
  <c r="CA88" i="1"/>
  <c r="BZ88" i="1"/>
  <c r="BY88" i="1"/>
  <c r="BX88" i="1"/>
  <c r="BW88" i="1"/>
  <c r="CC87" i="1"/>
  <c r="CB87" i="1"/>
  <c r="CA87" i="1"/>
  <c r="BZ87" i="1"/>
  <c r="BY87" i="1"/>
  <c r="BX87" i="1"/>
  <c r="BW87" i="1"/>
  <c r="CC86" i="1"/>
  <c r="CB86" i="1"/>
  <c r="CA86" i="1"/>
  <c r="BZ86" i="1"/>
  <c r="BY86" i="1"/>
  <c r="BX86" i="1"/>
  <c r="BW86" i="1"/>
  <c r="CC85" i="1"/>
  <c r="CB85" i="1"/>
  <c r="CA85" i="1"/>
  <c r="BZ85" i="1"/>
  <c r="BY85" i="1"/>
  <c r="BX85" i="1"/>
  <c r="BW85" i="1"/>
  <c r="CC84" i="1"/>
  <c r="CB84" i="1"/>
  <c r="CA84" i="1"/>
  <c r="BZ84" i="1"/>
  <c r="BY84" i="1"/>
  <c r="BX84" i="1"/>
  <c r="BW84" i="1"/>
  <c r="CC83" i="1"/>
  <c r="CB83" i="1"/>
  <c r="CA83" i="1"/>
  <c r="BZ83" i="1"/>
  <c r="BY83" i="1"/>
  <c r="BX83" i="1"/>
  <c r="BW83" i="1"/>
  <c r="CC82" i="1"/>
  <c r="CB82" i="1"/>
  <c r="CA82" i="1"/>
  <c r="BZ82" i="1"/>
  <c r="BY82" i="1"/>
  <c r="BX82" i="1"/>
  <c r="BW82" i="1"/>
  <c r="CC81" i="1"/>
  <c r="CB81" i="1"/>
  <c r="CA81" i="1"/>
  <c r="BZ81" i="1"/>
  <c r="BY81" i="1"/>
  <c r="BX81" i="1"/>
  <c r="BW81" i="1"/>
  <c r="CC80" i="1"/>
  <c r="CB80" i="1"/>
  <c r="CA80" i="1"/>
  <c r="BZ80" i="1"/>
  <c r="BY80" i="1"/>
  <c r="BX80" i="1"/>
  <c r="BW80" i="1"/>
  <c r="CC79" i="1"/>
  <c r="CB79" i="1"/>
  <c r="CA79" i="1"/>
  <c r="BZ79" i="1"/>
  <c r="BY79" i="1"/>
  <c r="BX79" i="1"/>
  <c r="BW79" i="1"/>
  <c r="CC78" i="1"/>
  <c r="CB78" i="1"/>
  <c r="CA78" i="1"/>
  <c r="BZ78" i="1"/>
  <c r="BY78" i="1"/>
  <c r="BX78" i="1"/>
  <c r="BW78" i="1"/>
  <c r="CC77" i="1"/>
  <c r="CB77" i="1"/>
  <c r="CA77" i="1"/>
  <c r="BZ77" i="1"/>
  <c r="BY77" i="1"/>
  <c r="BX77" i="1"/>
  <c r="BW77" i="1"/>
  <c r="CC76" i="1"/>
  <c r="CB76" i="1"/>
  <c r="CA76" i="1"/>
  <c r="BZ76" i="1"/>
  <c r="BY76" i="1"/>
  <c r="BX76" i="1"/>
  <c r="BW76" i="1"/>
  <c r="CC75" i="1"/>
  <c r="CB75" i="1"/>
  <c r="CA75" i="1"/>
  <c r="BZ75" i="1"/>
  <c r="BY75" i="1"/>
  <c r="BX75" i="1"/>
  <c r="BW75" i="1"/>
  <c r="CC74" i="1"/>
  <c r="CB74" i="1"/>
  <c r="CA74" i="1"/>
  <c r="BZ74" i="1"/>
  <c r="BY74" i="1"/>
  <c r="BX74" i="1"/>
  <c r="BW74" i="1"/>
  <c r="CC73" i="1"/>
  <c r="CB73" i="1"/>
  <c r="CA73" i="1"/>
  <c r="BZ73" i="1"/>
  <c r="BY73" i="1"/>
  <c r="BX73" i="1"/>
  <c r="BW73" i="1"/>
  <c r="CC72" i="1"/>
  <c r="CB72" i="1"/>
  <c r="CA72" i="1"/>
  <c r="BZ72" i="1"/>
  <c r="BY72" i="1"/>
  <c r="BX72" i="1"/>
  <c r="BW72" i="1"/>
  <c r="CC71" i="1"/>
  <c r="CB71" i="1"/>
  <c r="CA71" i="1"/>
  <c r="BZ71" i="1"/>
  <c r="BY71" i="1"/>
  <c r="BX71" i="1"/>
  <c r="BW71" i="1"/>
  <c r="CC70" i="1"/>
  <c r="CB70" i="1"/>
  <c r="CA70" i="1"/>
  <c r="BZ70" i="1"/>
  <c r="BY70" i="1"/>
  <c r="BX70" i="1"/>
  <c r="BW70" i="1"/>
  <c r="CC69" i="1"/>
  <c r="CB69" i="1"/>
  <c r="CA69" i="1"/>
  <c r="BZ69" i="1"/>
  <c r="BY69" i="1"/>
  <c r="BX69" i="1"/>
  <c r="BW69" i="1"/>
  <c r="CC68" i="1"/>
  <c r="CB68" i="1"/>
  <c r="CA68" i="1"/>
  <c r="BZ68" i="1"/>
  <c r="BY68" i="1"/>
  <c r="BX68" i="1"/>
  <c r="BW68" i="1"/>
  <c r="CC67" i="1"/>
  <c r="CB67" i="1"/>
  <c r="CA67" i="1"/>
  <c r="BZ67" i="1"/>
  <c r="BY67" i="1"/>
  <c r="BX67" i="1"/>
  <c r="BW67" i="1"/>
  <c r="CC66" i="1"/>
  <c r="CB66" i="1"/>
  <c r="CA66" i="1"/>
  <c r="BZ66" i="1"/>
  <c r="BY66" i="1"/>
  <c r="BX66" i="1"/>
  <c r="BW66" i="1"/>
  <c r="CC65" i="1"/>
  <c r="CB65" i="1"/>
  <c r="CA65" i="1"/>
  <c r="BZ65" i="1"/>
  <c r="BY65" i="1"/>
  <c r="BX65" i="1"/>
  <c r="BW65" i="1"/>
  <c r="CC64" i="1"/>
  <c r="CB64" i="1"/>
  <c r="CA64" i="1"/>
  <c r="BZ64" i="1"/>
  <c r="BY64" i="1"/>
  <c r="BX64" i="1"/>
  <c r="BW64" i="1"/>
  <c r="CC63" i="1"/>
  <c r="CB63" i="1"/>
  <c r="CA63" i="1"/>
  <c r="BZ63" i="1"/>
  <c r="BY63" i="1"/>
  <c r="BX63" i="1"/>
  <c r="BW63" i="1"/>
  <c r="CC62" i="1"/>
  <c r="CB62" i="1"/>
  <c r="CA62" i="1"/>
  <c r="BZ62" i="1"/>
  <c r="BY62" i="1"/>
  <c r="BX62" i="1"/>
  <c r="BW62" i="1"/>
  <c r="CC61" i="1"/>
  <c r="CB61" i="1"/>
  <c r="CA61" i="1"/>
  <c r="BZ61" i="1"/>
  <c r="BY61" i="1"/>
  <c r="BX61" i="1"/>
  <c r="BW61" i="1"/>
  <c r="CC60" i="1"/>
  <c r="CB60" i="1"/>
  <c r="CA60" i="1"/>
  <c r="BZ60" i="1"/>
  <c r="BY60" i="1"/>
  <c r="BX60" i="1"/>
  <c r="BW60" i="1"/>
  <c r="CC59" i="1"/>
  <c r="CB59" i="1"/>
  <c r="CA59" i="1"/>
  <c r="BZ59" i="1"/>
  <c r="BY59" i="1"/>
  <c r="BX59" i="1"/>
  <c r="BW59" i="1"/>
  <c r="CC58" i="1"/>
  <c r="CB58" i="1"/>
  <c r="CA58" i="1"/>
  <c r="BZ58" i="1"/>
  <c r="BY58" i="1"/>
  <c r="BX58" i="1"/>
  <c r="BW58" i="1"/>
  <c r="CC57" i="1"/>
  <c r="CB57" i="1"/>
  <c r="CA57" i="1"/>
  <c r="BZ57" i="1"/>
  <c r="BY57" i="1"/>
  <c r="BX57" i="1"/>
  <c r="BW57" i="1"/>
  <c r="CC56" i="1"/>
  <c r="CB56" i="1"/>
  <c r="CA56" i="1"/>
  <c r="BZ56" i="1"/>
  <c r="BY56" i="1"/>
  <c r="BX56" i="1"/>
  <c r="BW56" i="1"/>
  <c r="CC55" i="1"/>
  <c r="CB55" i="1"/>
  <c r="CA55" i="1"/>
  <c r="BZ55" i="1"/>
  <c r="BY55" i="1"/>
  <c r="BX55" i="1"/>
  <c r="BW55" i="1"/>
  <c r="CC54" i="1"/>
  <c r="CB54" i="1"/>
  <c r="CA54" i="1"/>
  <c r="BZ54" i="1"/>
  <c r="BY54" i="1"/>
  <c r="BX54" i="1"/>
  <c r="BW54" i="1"/>
  <c r="CC53" i="1"/>
  <c r="CB53" i="1"/>
  <c r="CA53" i="1"/>
  <c r="BZ53" i="1"/>
  <c r="BY53" i="1"/>
  <c r="BX53" i="1"/>
  <c r="BW53" i="1"/>
  <c r="CC52" i="1"/>
  <c r="CB52" i="1"/>
  <c r="CA52" i="1"/>
  <c r="BZ52" i="1"/>
  <c r="BY52" i="1"/>
  <c r="BX52" i="1"/>
  <c r="BW52" i="1"/>
  <c r="CC48" i="1"/>
  <c r="CB48" i="1"/>
  <c r="CA48" i="1"/>
  <c r="BZ48" i="1"/>
  <c r="BY48" i="1"/>
  <c r="BX48" i="1"/>
  <c r="BW48" i="1"/>
  <c r="CC47" i="1"/>
  <c r="CB47" i="1"/>
  <c r="CA47" i="1"/>
  <c r="BZ47" i="1"/>
  <c r="BY47" i="1"/>
  <c r="BX47" i="1"/>
  <c r="BW47" i="1"/>
  <c r="CC46" i="1"/>
  <c r="CB46" i="1"/>
  <c r="CA46" i="1"/>
  <c r="BZ46" i="1"/>
  <c r="BY46" i="1"/>
  <c r="BX46" i="1"/>
  <c r="BW46" i="1"/>
  <c r="CC45" i="1"/>
  <c r="CB45" i="1"/>
  <c r="CA45" i="1"/>
  <c r="BZ45" i="1"/>
  <c r="BY45" i="1"/>
  <c r="BX45" i="1"/>
  <c r="BW45" i="1"/>
  <c r="CC44" i="1"/>
  <c r="CB44" i="1"/>
  <c r="CA44" i="1"/>
  <c r="BZ44" i="1"/>
  <c r="BY44" i="1"/>
  <c r="BX44" i="1"/>
  <c r="BW44" i="1"/>
  <c r="CC43" i="1"/>
  <c r="CB43" i="1"/>
  <c r="CA43" i="1"/>
  <c r="BZ43" i="1"/>
  <c r="BY43" i="1"/>
  <c r="BX43" i="1"/>
  <c r="BW43" i="1"/>
  <c r="O43" i="1"/>
  <c r="N43" i="1"/>
  <c r="CC42" i="1"/>
  <c r="CB42" i="1"/>
  <c r="CA42" i="1"/>
  <c r="BZ42" i="1"/>
  <c r="BY42" i="1"/>
  <c r="BX42" i="1"/>
  <c r="BW42" i="1"/>
  <c r="O42" i="1"/>
  <c r="N42" i="1"/>
  <c r="CC41" i="1"/>
  <c r="CB41" i="1"/>
  <c r="CA41" i="1"/>
  <c r="BZ41" i="1"/>
  <c r="BY41" i="1"/>
  <c r="BX41" i="1"/>
  <c r="BW41" i="1"/>
  <c r="O41" i="1"/>
  <c r="N41" i="1"/>
  <c r="CC40" i="1"/>
  <c r="CB40" i="1"/>
  <c r="CA40" i="1"/>
  <c r="BZ40" i="1"/>
  <c r="BY40" i="1"/>
  <c r="BX40" i="1"/>
  <c r="BW40" i="1"/>
  <c r="AI40" i="1"/>
  <c r="O40" i="1"/>
  <c r="N40" i="1"/>
  <c r="CC39" i="1"/>
  <c r="CB39" i="1"/>
  <c r="CA39" i="1"/>
  <c r="BZ39" i="1"/>
  <c r="BY39" i="1"/>
  <c r="BX39" i="1"/>
  <c r="BW39" i="1"/>
  <c r="AI39" i="1"/>
  <c r="O39" i="1"/>
  <c r="N39" i="1"/>
  <c r="CC38" i="1"/>
  <c r="CB38" i="1"/>
  <c r="CA38" i="1"/>
  <c r="BZ38" i="1"/>
  <c r="BY38" i="1"/>
  <c r="BX38" i="1"/>
  <c r="BW38" i="1"/>
  <c r="AI38" i="1"/>
  <c r="O38" i="1"/>
  <c r="N38" i="1"/>
  <c r="CC37" i="1"/>
  <c r="CB37" i="1"/>
  <c r="CA37" i="1"/>
  <c r="BZ37" i="1"/>
  <c r="BY37" i="1"/>
  <c r="BX37" i="1"/>
  <c r="BW37" i="1"/>
  <c r="AI37" i="1"/>
  <c r="O37" i="1"/>
  <c r="N37" i="1"/>
  <c r="CC36" i="1"/>
  <c r="CB36" i="1"/>
  <c r="CA36" i="1"/>
  <c r="BZ36" i="1"/>
  <c r="BY36" i="1"/>
  <c r="BX36" i="1"/>
  <c r="BW36" i="1"/>
  <c r="AI36" i="1"/>
  <c r="AF36" i="1"/>
  <c r="AE36" i="1"/>
  <c r="AC36" i="1"/>
  <c r="O36" i="1"/>
  <c r="N36" i="1"/>
  <c r="F36" i="1"/>
  <c r="C36" i="1"/>
  <c r="CC35" i="1"/>
  <c r="CB35" i="1"/>
  <c r="CA35" i="1"/>
  <c r="BZ35" i="1"/>
  <c r="BY35" i="1"/>
  <c r="BX35" i="1"/>
  <c r="BW35" i="1"/>
  <c r="AI35" i="1"/>
  <c r="AF35" i="1"/>
  <c r="AC35" i="1"/>
  <c r="O35" i="1"/>
  <c r="N35" i="1"/>
  <c r="C35" i="1"/>
  <c r="AC34" i="1"/>
  <c r="O34" i="1"/>
  <c r="N34" i="1"/>
  <c r="C34" i="1"/>
  <c r="AC33" i="1"/>
  <c r="O33" i="1"/>
  <c r="N33" i="1"/>
  <c r="C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AC21" i="1"/>
  <c r="AF21" i="1" s="1"/>
  <c r="O21" i="1"/>
  <c r="N21" i="1"/>
  <c r="C21" i="1"/>
  <c r="F21" i="1" s="1"/>
  <c r="AC20" i="1"/>
  <c r="AF20" i="1" s="1"/>
  <c r="AB20" i="1"/>
  <c r="O20" i="1"/>
  <c r="N20" i="1"/>
  <c r="C20" i="1"/>
  <c r="F20" i="1" s="1"/>
  <c r="B20" i="1"/>
  <c r="AF19" i="1"/>
  <c r="AC19" i="1" s="1"/>
  <c r="AB19" i="1"/>
  <c r="O19" i="1"/>
  <c r="N19" i="1"/>
  <c r="F19" i="1"/>
  <c r="C19" i="1" s="1"/>
  <c r="B19" i="1"/>
  <c r="AC18" i="1"/>
  <c r="AF18" i="1" s="1"/>
  <c r="AB18" i="1"/>
  <c r="O18" i="1"/>
  <c r="N18" i="1"/>
  <c r="C18" i="1"/>
  <c r="F18" i="1" s="1"/>
  <c r="B18" i="1"/>
  <c r="AC17" i="1"/>
  <c r="AF17" i="1" s="1"/>
  <c r="AB17" i="1"/>
  <c r="O17" i="1"/>
  <c r="N17" i="1"/>
  <c r="C17" i="1"/>
  <c r="F17" i="1" s="1"/>
  <c r="AC16" i="1"/>
  <c r="AF16" i="1" s="1"/>
  <c r="AB16" i="1"/>
  <c r="O16" i="1"/>
  <c r="N16" i="1"/>
  <c r="C16" i="1"/>
  <c r="F16" i="1" s="1"/>
  <c r="B16" i="1"/>
  <c r="AF15" i="1"/>
  <c r="AB15" i="1"/>
  <c r="O15" i="1"/>
  <c r="N15" i="1"/>
  <c r="F15" i="1"/>
  <c r="B15" i="1"/>
  <c r="CB14" i="1"/>
  <c r="CA14" i="1"/>
  <c r="BZ14" i="1"/>
  <c r="BY14" i="1"/>
  <c r="BX14" i="1"/>
  <c r="BW14" i="1"/>
  <c r="AB14" i="1"/>
  <c r="O14" i="1"/>
  <c r="N14" i="1"/>
  <c r="B14" i="1"/>
  <c r="CC13" i="1"/>
  <c r="CB13" i="1"/>
  <c r="CA13" i="1"/>
  <c r="BZ13" i="1"/>
  <c r="BY13" i="1"/>
  <c r="BX13" i="1"/>
  <c r="BW13" i="1"/>
  <c r="AF13" i="1"/>
  <c r="AB13" i="1"/>
  <c r="F13" i="1"/>
  <c r="B13" i="1"/>
  <c r="CC12" i="1"/>
  <c r="CB12" i="1"/>
  <c r="CA12" i="1"/>
  <c r="BZ12" i="1"/>
  <c r="BY12" i="1"/>
  <c r="BX12" i="1"/>
  <c r="BW12" i="1"/>
  <c r="AI12" i="1"/>
  <c r="AF12" i="1"/>
  <c r="AB12" i="1"/>
  <c r="F12" i="1"/>
  <c r="B12" i="1"/>
  <c r="CC11" i="1"/>
  <c r="CB11" i="1"/>
  <c r="CA11" i="1"/>
  <c r="BZ11" i="1"/>
  <c r="BY11" i="1"/>
  <c r="BX11" i="1"/>
  <c r="BW11" i="1"/>
  <c r="AF11" i="1"/>
  <c r="AE11" i="1"/>
  <c r="AD11" i="1"/>
  <c r="AC11" i="1"/>
  <c r="AB11" i="1"/>
  <c r="J11" i="1"/>
  <c r="I11" i="1"/>
  <c r="H11" i="1"/>
  <c r="H12" i="1" s="1"/>
  <c r="F11" i="1"/>
  <c r="E11" i="1"/>
  <c r="D11" i="1"/>
  <c r="C11" i="1"/>
  <c r="B11" i="1"/>
  <c r="CC10" i="1"/>
  <c r="CB10" i="1"/>
  <c r="CA10" i="1"/>
  <c r="BZ10" i="1"/>
  <c r="BY10" i="1"/>
  <c r="BX10" i="1"/>
  <c r="BW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R9" i="1" s="1"/>
  <c r="AQ10" i="1"/>
  <c r="AF10" i="1"/>
  <c r="CC9" i="1"/>
  <c r="CB9" i="1"/>
  <c r="CA9" i="1"/>
  <c r="BZ9" i="1"/>
  <c r="BY9" i="1"/>
  <c r="BX9" i="1"/>
  <c r="BW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Q9" i="1"/>
  <c r="CC8" i="1"/>
  <c r="CB8" i="1"/>
  <c r="CA8" i="1"/>
  <c r="BZ8" i="1"/>
  <c r="BY8" i="1"/>
  <c r="BX8" i="1"/>
  <c r="BW8" i="1"/>
  <c r="CC7" i="1"/>
  <c r="CB7" i="1"/>
  <c r="CA7" i="1"/>
  <c r="BZ7" i="1"/>
  <c r="BY7" i="1"/>
  <c r="BX7" i="1"/>
  <c r="BW7" i="1"/>
  <c r="CC6" i="1"/>
  <c r="CB6" i="1"/>
  <c r="CA6" i="1"/>
  <c r="BZ6" i="1"/>
  <c r="BY6" i="1"/>
  <c r="BX6" i="1"/>
  <c r="BW6" i="1"/>
  <c r="AI6" i="1"/>
  <c r="C6" i="1"/>
  <c r="CC5" i="1"/>
  <c r="CB5" i="1"/>
  <c r="CA5" i="1"/>
  <c r="BZ5" i="1"/>
  <c r="BY5" i="1"/>
  <c r="BX5" i="1"/>
  <c r="BW5" i="1"/>
  <c r="AI5" i="1"/>
  <c r="AF5" i="1"/>
  <c r="C5" i="1"/>
  <c r="CC4" i="1"/>
  <c r="CB4" i="1"/>
  <c r="CA4" i="1"/>
  <c r="BZ4" i="1"/>
  <c r="BY4" i="1"/>
  <c r="BX4" i="1"/>
  <c r="BW4" i="1"/>
  <c r="AI4" i="1"/>
  <c r="AI7" i="1" s="1"/>
  <c r="AG4" i="1"/>
  <c r="H4" i="1"/>
  <c r="C4" i="1"/>
  <c r="AI3" i="1"/>
  <c r="CE2" i="1"/>
  <c r="CD2" i="1"/>
  <c r="AI2" i="1"/>
  <c r="G2" i="1"/>
  <c r="AI1" i="1"/>
  <c r="V68" i="2" l="1"/>
  <c r="W68" i="2" s="1"/>
  <c r="V69" i="2"/>
  <c r="W69" i="2" s="1"/>
  <c r="V64" i="2"/>
  <c r="V65" i="2"/>
  <c r="W65" i="2" s="1"/>
  <c r="V66" i="2"/>
  <c r="W66" i="2" s="1"/>
  <c r="V67" i="2"/>
  <c r="W67" i="2" s="1"/>
  <c r="I20" i="2"/>
  <c r="P18" i="2"/>
  <c r="I18" i="2"/>
  <c r="D7" i="2"/>
  <c r="I13" i="2"/>
  <c r="BY32" i="1"/>
  <c r="BW19" i="1"/>
  <c r="CA17" i="1"/>
  <c r="CC34" i="1"/>
  <c r="CB34" i="1"/>
  <c r="CA34" i="1"/>
  <c r="BZ34" i="1"/>
  <c r="BY34" i="1"/>
  <c r="BX34" i="1"/>
  <c r="BW34" i="1"/>
  <c r="BY17" i="1"/>
  <c r="CC33" i="1"/>
  <c r="CB33" i="1"/>
  <c r="CA33" i="1"/>
  <c r="BZ33" i="1"/>
  <c r="BY33" i="1"/>
  <c r="BX33" i="1"/>
  <c r="BW33" i="1"/>
  <c r="BY16" i="1"/>
  <c r="CC32" i="1"/>
  <c r="CB32" i="1"/>
  <c r="CA32" i="1"/>
  <c r="BZ32" i="1"/>
  <c r="BZ24" i="1"/>
  <c r="BX32" i="1"/>
  <c r="BW32" i="1"/>
  <c r="CB15" i="1"/>
  <c r="CB3" i="1" s="1"/>
  <c r="CB2" i="1" s="1"/>
  <c r="BZ15" i="1"/>
  <c r="BZ3" i="1" s="1"/>
  <c r="BZ2" i="1" s="1"/>
  <c r="BW15" i="1"/>
  <c r="CC31" i="1"/>
  <c r="CB31" i="1"/>
  <c r="CC18" i="1"/>
  <c r="CB18" i="1"/>
  <c r="CA18" i="1"/>
  <c r="BX18" i="1"/>
  <c r="BW18" i="1"/>
  <c r="CC17" i="1"/>
  <c r="CB17" i="1"/>
  <c r="BZ17" i="1"/>
  <c r="BX17" i="1"/>
  <c r="BW17" i="1"/>
  <c r="CC16" i="1"/>
  <c r="CA16" i="1"/>
  <c r="BX16" i="1"/>
  <c r="CC15" i="1"/>
  <c r="BY15" i="1"/>
  <c r="CC14" i="1"/>
  <c r="CA31" i="1"/>
  <c r="BZ31" i="1"/>
  <c r="BY31" i="1"/>
  <c r="BX31" i="1"/>
  <c r="BW31" i="1"/>
  <c r="CC30" i="1"/>
  <c r="CB30" i="1"/>
  <c r="CA30" i="1"/>
  <c r="BZ30" i="1"/>
  <c r="BY30" i="1"/>
  <c r="BX30" i="1"/>
  <c r="BW30" i="1"/>
  <c r="CC29" i="1"/>
  <c r="CB29" i="1"/>
  <c r="CA29" i="1"/>
  <c r="BZ29" i="1"/>
  <c r="BY29" i="1"/>
  <c r="BX29" i="1"/>
  <c r="BW29" i="1"/>
  <c r="CC28" i="1"/>
  <c r="CB28" i="1"/>
  <c r="CA28" i="1"/>
  <c r="BZ28" i="1"/>
  <c r="BY28" i="1"/>
  <c r="BX28" i="1"/>
  <c r="BW28" i="1"/>
  <c r="CB26" i="1"/>
  <c r="BZ26" i="1"/>
  <c r="BY26" i="1"/>
  <c r="BW26" i="1"/>
  <c r="CC25" i="1"/>
  <c r="CB25" i="1"/>
  <c r="BZ25" i="1"/>
  <c r="BX25" i="1"/>
  <c r="CC24" i="1"/>
  <c r="CA24" i="1"/>
  <c r="BY19" i="1"/>
  <c r="BX24" i="1"/>
  <c r="CC23" i="1"/>
  <c r="BZ20" i="1"/>
  <c r="BW20" i="1"/>
  <c r="CB19" i="1"/>
  <c r="BZ19" i="1"/>
  <c r="BX19" i="1"/>
  <c r="BY18" i="1"/>
  <c r="BZ16" i="1"/>
  <c r="CC27" i="1"/>
  <c r="CB27" i="1"/>
  <c r="CA27" i="1"/>
  <c r="BZ27" i="1"/>
  <c r="BY27" i="1"/>
  <c r="BX27" i="1"/>
  <c r="BW27" i="1"/>
  <c r="CC26" i="1"/>
  <c r="CA26" i="1"/>
  <c r="BX26" i="1"/>
  <c r="CA25" i="1"/>
  <c r="BY25" i="1"/>
  <c r="BW25" i="1"/>
  <c r="CB24" i="1"/>
  <c r="BY24" i="1"/>
  <c r="BW24" i="1"/>
  <c r="CB20" i="1"/>
  <c r="BX20" i="1"/>
  <c r="BZ18" i="1"/>
  <c r="CB16" i="1"/>
  <c r="BW16" i="1"/>
  <c r="CA15" i="1"/>
  <c r="BX15" i="1"/>
  <c r="CB23" i="1"/>
  <c r="CA23" i="1"/>
  <c r="BZ23" i="1"/>
  <c r="BY23" i="1"/>
  <c r="BX23" i="1"/>
  <c r="BW23" i="1"/>
  <c r="CC22" i="1"/>
  <c r="CB22" i="1"/>
  <c r="CA22" i="1"/>
  <c r="BZ22" i="1"/>
  <c r="BY22" i="1"/>
  <c r="BX22" i="1"/>
  <c r="BW22" i="1"/>
  <c r="CC21" i="1"/>
  <c r="CB21" i="1"/>
  <c r="CA21" i="1"/>
  <c r="BZ21" i="1"/>
  <c r="BY21" i="1"/>
  <c r="BX21" i="1"/>
  <c r="BW21" i="1"/>
  <c r="CC20" i="1"/>
  <c r="CA20" i="1"/>
  <c r="BY20" i="1"/>
  <c r="CC19" i="1"/>
  <c r="CA19" i="1"/>
  <c r="AC31" i="1"/>
  <c r="AC32" i="1"/>
  <c r="AC30" i="1"/>
  <c r="AC29" i="1"/>
  <c r="F35" i="1"/>
  <c r="AI34" i="1"/>
  <c r="AI33" i="1"/>
  <c r="AI32" i="1"/>
  <c r="C32" i="1"/>
  <c r="AI18" i="1"/>
  <c r="AI26" i="1"/>
  <c r="AI22" i="1"/>
  <c r="AI20" i="1"/>
  <c r="C29" i="1"/>
  <c r="AI23" i="1"/>
  <c r="AI15" i="1"/>
  <c r="AI24" i="1"/>
  <c r="AI19" i="1"/>
  <c r="AI30" i="1"/>
  <c r="C31" i="1"/>
  <c r="AI31" i="1"/>
  <c r="AI14" i="1"/>
  <c r="AI25" i="1"/>
  <c r="AI17" i="1"/>
  <c r="AI16" i="1"/>
  <c r="AI29" i="1"/>
  <c r="AI21" i="1"/>
  <c r="C30" i="1"/>
  <c r="AI13" i="1"/>
  <c r="AI10" i="1" s="1"/>
  <c r="AH10" i="1" s="1"/>
  <c r="B17" i="1" s="1"/>
  <c r="W64" i="2" l="1"/>
  <c r="W70" i="2" s="1"/>
  <c r="V70" i="2"/>
  <c r="I11" i="2"/>
  <c r="BW3" i="1"/>
  <c r="BW2" i="1" s="1"/>
  <c r="E36" i="1" s="1"/>
  <c r="BY3" i="1"/>
  <c r="BY2" i="1" s="1"/>
  <c r="CC3" i="1"/>
  <c r="CC2" i="1" s="1"/>
  <c r="CA3" i="1"/>
  <c r="CA2" i="1" s="1"/>
  <c r="BX3" i="1"/>
  <c r="BX2" i="1" s="1"/>
</calcChain>
</file>

<file path=xl/sharedStrings.xml><?xml version="1.0" encoding="utf-8"?>
<sst xmlns="http://schemas.openxmlformats.org/spreadsheetml/2006/main" count="450" uniqueCount="259">
  <si>
    <t xml:space="preserve">               Quote Form</t>
  </si>
  <si>
    <t>Quote</t>
  </si>
  <si>
    <t>K082626839</t>
  </si>
  <si>
    <t>/</t>
  </si>
  <si>
    <t>Date</t>
  </si>
  <si>
    <t xml:space="preserve"> </t>
  </si>
  <si>
    <t>h</t>
  </si>
  <si>
    <t>mp1 mp3</t>
  </si>
  <si>
    <t>mp2</t>
  </si>
  <si>
    <t>mt1</t>
  </si>
  <si>
    <t>mpu3</t>
  </si>
  <si>
    <t>mt2</t>
  </si>
  <si>
    <t>ms2</t>
  </si>
  <si>
    <t>ms4</t>
  </si>
  <si>
    <t>Terms</t>
  </si>
  <si>
    <t>Net 30</t>
  </si>
  <si>
    <t>Bore</t>
  </si>
  <si>
    <t>Rod</t>
  </si>
  <si>
    <t>XC</t>
  </si>
  <si>
    <t>XD</t>
  </si>
  <si>
    <t>XG</t>
  </si>
  <si>
    <t>XH</t>
  </si>
  <si>
    <t>XJ</t>
  </si>
  <si>
    <t>XS</t>
  </si>
  <si>
    <t>XT</t>
  </si>
  <si>
    <t>Customer</t>
  </si>
  <si>
    <t>Address:</t>
  </si>
  <si>
    <t>Days:</t>
  </si>
  <si>
    <t>Phone/Email:</t>
  </si>
  <si>
    <t>Ref:</t>
  </si>
  <si>
    <t>Atlas</t>
  </si>
  <si>
    <t>Attn:</t>
  </si>
  <si>
    <t>FOB</t>
  </si>
  <si>
    <t>Hartselle, AL</t>
  </si>
  <si>
    <t>TF = 8.19"</t>
  </si>
  <si>
    <t>R = 4.95"</t>
  </si>
  <si>
    <t>FB = 0.94"</t>
  </si>
  <si>
    <t>F = 0.88"</t>
  </si>
  <si>
    <t>Description</t>
  </si>
  <si>
    <t>Qty</t>
  </si>
  <si>
    <t>List</t>
  </si>
  <si>
    <t>Discount</t>
  </si>
  <si>
    <t>Net Each</t>
  </si>
  <si>
    <t>Profit</t>
  </si>
  <si>
    <t>Labor Cost</t>
  </si>
  <si>
    <t>Inv</t>
  </si>
  <si>
    <t>A</t>
  </si>
  <si>
    <t>WF</t>
  </si>
  <si>
    <t>H</t>
  </si>
  <si>
    <t>F</t>
  </si>
  <si>
    <t>Series</t>
  </si>
  <si>
    <t>S</t>
  </si>
  <si>
    <t>N</t>
  </si>
  <si>
    <t>E</t>
  </si>
  <si>
    <t>G</t>
  </si>
  <si>
    <t>J</t>
  </si>
  <si>
    <t>LB</t>
  </si>
  <si>
    <t>CD</t>
  </si>
  <si>
    <t>CB</t>
  </si>
  <si>
    <t>L</t>
  </si>
  <si>
    <t>UM</t>
  </si>
  <si>
    <t>TM</t>
  </si>
  <si>
    <t>UT</t>
  </si>
  <si>
    <t>TD</t>
  </si>
  <si>
    <t>TL</t>
  </si>
  <si>
    <t>DD</t>
  </si>
  <si>
    <t>BB</t>
  </si>
  <si>
    <t>R</t>
  </si>
  <si>
    <t>CK</t>
  </si>
  <si>
    <t>SL</t>
  </si>
  <si>
    <t>SB</t>
  </si>
  <si>
    <t>TS</t>
  </si>
  <si>
    <t>SS</t>
  </si>
  <si>
    <t>NT</t>
  </si>
  <si>
    <t>TN</t>
  </si>
  <si>
    <t>SN</t>
  </si>
  <si>
    <t>FB</t>
  </si>
  <si>
    <t>TF</t>
  </si>
  <si>
    <t>Model Code</t>
  </si>
  <si>
    <t>Expedited - Emergency</t>
  </si>
  <si>
    <t>3/8-24</t>
  </si>
  <si>
    <t>3/8-16</t>
  </si>
  <si>
    <t>Bore Size (")</t>
  </si>
  <si>
    <t>JIT Foster Care Program*</t>
  </si>
  <si>
    <t>1/2-20</t>
  </si>
  <si>
    <t>1/2-13</t>
  </si>
  <si>
    <t>Mount</t>
  </si>
  <si>
    <t>Recommended Cylinder Repair Components</t>
  </si>
  <si>
    <t>5/8-11</t>
  </si>
  <si>
    <t>Rod Size (")</t>
  </si>
  <si>
    <t>Piston &amp; Rod Assembly</t>
  </si>
  <si>
    <t>5/8-18</t>
  </si>
  <si>
    <t>3/4-10</t>
  </si>
  <si>
    <t>Cushions</t>
  </si>
  <si>
    <t>qty</t>
  </si>
  <si>
    <t>mount</t>
  </si>
  <si>
    <t>bore</t>
  </si>
  <si>
    <t>stroke</t>
  </si>
  <si>
    <t>rod</t>
  </si>
  <si>
    <t>1-8</t>
  </si>
  <si>
    <t>Ports</t>
  </si>
  <si>
    <t>mp5</t>
  </si>
  <si>
    <t>7/8-14</t>
  </si>
  <si>
    <t>Stroke (")</t>
  </si>
  <si>
    <t>1-14</t>
  </si>
  <si>
    <t>1 1/4-7</t>
  </si>
  <si>
    <t>Rod Thread</t>
  </si>
  <si>
    <t>mf5</t>
  </si>
  <si>
    <t>1 1/8-12</t>
  </si>
  <si>
    <t>1 1/2-6</t>
  </si>
  <si>
    <t>Seals</t>
  </si>
  <si>
    <t>1 1/4-12</t>
  </si>
  <si>
    <t>Includes:</t>
  </si>
  <si>
    <t>mt4</t>
  </si>
  <si>
    <t>NPT</t>
  </si>
  <si>
    <t>SAE</t>
  </si>
  <si>
    <t>f</t>
  </si>
  <si>
    <t>SS*</t>
  </si>
  <si>
    <t>SN*</t>
  </si>
  <si>
    <t>Cylinder Dimensions</t>
  </si>
  <si>
    <t>1/4-28</t>
  </si>
  <si>
    <t>1/4-20</t>
  </si>
  <si>
    <t>5/16-24</t>
  </si>
  <si>
    <t>5/16-18</t>
  </si>
  <si>
    <t>Comments:</t>
  </si>
  <si>
    <t/>
  </si>
  <si>
    <t>3/4-16</t>
  </si>
  <si>
    <t xml:space="preserve">Quote is valid for 60 Days </t>
  </si>
  <si>
    <t>*Orders of $25K + are subject to JIT Progress Payment Terms</t>
  </si>
  <si>
    <t>* For Emergency orders please call to verify achievable delivery.                                                                                            JIT Terms of Sale are available at visit www.jitindustries.com/terms.html</t>
  </si>
  <si>
    <t>Matt McComb</t>
  </si>
  <si>
    <t>Cylinder Application Eng</t>
  </si>
  <si>
    <t>a</t>
  </si>
  <si>
    <t>ME3</t>
  </si>
  <si>
    <t>ME4</t>
  </si>
  <si>
    <t>ME5</t>
  </si>
  <si>
    <t>ME6</t>
  </si>
  <si>
    <t>MF1</t>
  </si>
  <si>
    <t>MF2</t>
  </si>
  <si>
    <t>MF5</t>
  </si>
  <si>
    <t>MF6</t>
  </si>
  <si>
    <t>MP1</t>
  </si>
  <si>
    <t>MP2</t>
  </si>
  <si>
    <t>MP3</t>
  </si>
  <si>
    <t>MPU3</t>
  </si>
  <si>
    <t>MS1</t>
  </si>
  <si>
    <t>MS2</t>
  </si>
  <si>
    <t>MS3</t>
  </si>
  <si>
    <t>MS4</t>
  </si>
  <si>
    <t>MS7</t>
  </si>
  <si>
    <t>MT1</t>
  </si>
  <si>
    <t>MT2</t>
  </si>
  <si>
    <t>MT4</t>
  </si>
  <si>
    <t>MX0</t>
  </si>
  <si>
    <t>MX1</t>
  </si>
  <si>
    <t>MX2</t>
  </si>
  <si>
    <t>MX3</t>
  </si>
  <si>
    <t>DRE</t>
  </si>
  <si>
    <t>-</t>
  </si>
  <si>
    <t>x</t>
  </si>
  <si>
    <t>p&amp;a</t>
  </si>
  <si>
    <t>Retainer</t>
  </si>
  <si>
    <t>Slotted</t>
  </si>
  <si>
    <t>Ship Date</t>
  </si>
  <si>
    <t>Cost</t>
  </si>
  <si>
    <t>Cushion</t>
  </si>
  <si>
    <t>NC</t>
  </si>
  <si>
    <t>Full Head Flange</t>
  </si>
  <si>
    <t>Stroke</t>
  </si>
  <si>
    <t>Accessories</t>
  </si>
  <si>
    <t>Full Cap Flange</t>
  </si>
  <si>
    <t>Special</t>
  </si>
  <si>
    <t>Rod Clevis</t>
  </si>
  <si>
    <t>Head Flange</t>
  </si>
  <si>
    <t>P</t>
  </si>
  <si>
    <t>Eye Bracket</t>
  </si>
  <si>
    <t>Cap Flange</t>
  </si>
  <si>
    <t>Rod Extension</t>
  </si>
  <si>
    <t>Rod Eye</t>
  </si>
  <si>
    <t>Rect Head Flange</t>
  </si>
  <si>
    <t>Stop Tube "</t>
  </si>
  <si>
    <t>Clevis Bracket</t>
  </si>
  <si>
    <t>Rect Cap Flange</t>
  </si>
  <si>
    <t>Extra Ports</t>
  </si>
  <si>
    <t>Pivot Pin</t>
  </si>
  <si>
    <t>Square Head Flange</t>
  </si>
  <si>
    <t>Bumper Seal</t>
  </si>
  <si>
    <t>Rod Style</t>
  </si>
  <si>
    <t>Self-Aligning Male Eye</t>
  </si>
  <si>
    <t>Square Cap Flange</t>
  </si>
  <si>
    <t>Brass Wiper</t>
  </si>
  <si>
    <t>SA - Clevis Bracket</t>
  </si>
  <si>
    <t>Force</t>
  </si>
  <si>
    <t>Fixed Cap Clevis</t>
  </si>
  <si>
    <t>UltraOx</t>
  </si>
  <si>
    <t>SA - Pivot Pin</t>
  </si>
  <si>
    <t>Detachable Cap Clevis</t>
  </si>
  <si>
    <t>SS Rod</t>
  </si>
  <si>
    <t>Double Rod End</t>
  </si>
  <si>
    <t>Alignment Coupler</t>
  </si>
  <si>
    <t>Extend</t>
  </si>
  <si>
    <t>Pivot Eye</t>
  </si>
  <si>
    <t>Transducer</t>
  </si>
  <si>
    <t>Male Rod Eye</t>
  </si>
  <si>
    <t>Self Aligning Eye</t>
  </si>
  <si>
    <t>Prox Switch</t>
  </si>
  <si>
    <t>Safety Coupler</t>
  </si>
  <si>
    <t>Retract</t>
  </si>
  <si>
    <t>Angle Foot</t>
  </si>
  <si>
    <t>Gland Drain</t>
  </si>
  <si>
    <t>Rod Stud</t>
  </si>
  <si>
    <t>Side Lugs</t>
  </si>
  <si>
    <t>Chrome Bore</t>
  </si>
  <si>
    <t>Weld Plate</t>
  </si>
  <si>
    <t>Centerline Lug</t>
  </si>
  <si>
    <t>Prepped for Transducer</t>
  </si>
  <si>
    <t>Jam Nut</t>
  </si>
  <si>
    <t>Side Tapped</t>
  </si>
  <si>
    <t>IF(OR(B3="HM",B3="MH",B3="H",B3="IMH",B3="IHM",B3="IH"),3000,IF(B3="LH",1500,IF(OR(B3="VA",B3="A"),100)))</t>
  </si>
  <si>
    <t>Air Bleed</t>
  </si>
  <si>
    <t>Total</t>
  </si>
  <si>
    <t>Foot Lug</t>
  </si>
  <si>
    <t>Sensor Cover</t>
  </si>
  <si>
    <t>xi</t>
  </si>
  <si>
    <t>Special Options</t>
  </si>
  <si>
    <t>Head Trunnion</t>
  </si>
  <si>
    <t>Extra Tie Rod</t>
  </si>
  <si>
    <t>Std Rod Boot</t>
  </si>
  <si>
    <t>Cap Trunnion</t>
  </si>
  <si>
    <t>Valve Manifold</t>
  </si>
  <si>
    <t>Weight</t>
  </si>
  <si>
    <t>Center Trunnion</t>
  </si>
  <si>
    <t>Extra Thread</t>
  </si>
  <si>
    <t>No Mount</t>
  </si>
  <si>
    <t>Extended Both Ends</t>
  </si>
  <si>
    <t>H Series Cylinder Weight Chart</t>
  </si>
  <si>
    <t>A Series Cylinder Weight Chart</t>
  </si>
  <si>
    <t>Weight at Zero Stroke</t>
  </si>
  <si>
    <t>Weight per Inch of Stroke</t>
  </si>
  <si>
    <t>Extended Cap End</t>
  </si>
  <si>
    <t>Zero</t>
  </si>
  <si>
    <t>Add per Inch of Stroke</t>
  </si>
  <si>
    <t>Extended Head End</t>
  </si>
  <si>
    <t>Size</t>
  </si>
  <si>
    <t>Dia.</t>
  </si>
  <si>
    <t>Dwg</t>
  </si>
  <si>
    <t>GunDrill deep</t>
  </si>
  <si>
    <t>Tie Rods</t>
  </si>
  <si>
    <t>Base</t>
  </si>
  <si>
    <t>Hose</t>
  </si>
  <si>
    <t>Per foot</t>
  </si>
  <si>
    <t>Connector</t>
  </si>
  <si>
    <t>foot Adder</t>
  </si>
  <si>
    <t>471TC-4-RL</t>
  </si>
  <si>
    <t>471TC-6-RL</t>
  </si>
  <si>
    <t>471TC-8-RL</t>
  </si>
  <si>
    <t>471TC-10-RL</t>
  </si>
  <si>
    <t>471TC-12-RL</t>
  </si>
  <si>
    <t>471TC-16-RL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</si>
</sst>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mmm\-d\ \(h:mm\)"/>
    <numFmt numFmtId="165" formatCode="[$-409]d\-mmm\-yy;@"/>
    <numFmt numFmtId="166" formatCode="mdyy"/>
    <numFmt numFmtId="167" formatCode="0.000"/>
    <numFmt numFmtId="168" formatCode="&quot;$&quot;#,##0"/>
    <numFmt numFmtId="169" formatCode="0.0%"/>
    <numFmt numFmtId="170" formatCode="&quot;$&quot;#,##0.00"/>
    <numFmt numFmtId="171" formatCode="&quot;$&quot;#,##0.0"/>
    <numFmt numFmtId="172" formatCode="mmm\-d"/>
    <numFmt numFmtId="173" formatCode="#,##0.0"/>
    <numFmt numFmtId="174" formatCode="#,##0.000"/>
    <numFmt numFmtId="175" formatCode="0.0"/>
  </numFmts>
  <fonts count="3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entury Gothic"/>
      <family val="2"/>
    </font>
    <font>
      <sz val="24"/>
      <name val="Century Gothic"/>
      <family val="2"/>
    </font>
    <font>
      <sz val="11"/>
      <name val="Century Gothic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6"/>
      <name val="Century Gothic"/>
      <family val="2"/>
    </font>
    <font>
      <sz val="11"/>
      <color theme="0"/>
      <name val="Trebuchet MS"/>
      <family val="2"/>
    </font>
    <font>
      <sz val="11"/>
      <name val="Trebuchet MS"/>
      <family val="2"/>
    </font>
    <font>
      <sz val="10"/>
      <name val="DroidSansRegular"/>
    </font>
    <font>
      <sz val="9"/>
      <name val="Century Gothic"/>
      <family val="2"/>
    </font>
    <font>
      <b/>
      <sz val="11"/>
      <name val="Century Gothic"/>
      <family val="2"/>
    </font>
    <font>
      <u/>
      <sz val="10"/>
      <color indexed="12"/>
      <name val="Arial"/>
      <family val="2"/>
    </font>
    <font>
      <u/>
      <sz val="9"/>
      <name val="Century Gothic"/>
      <family val="2"/>
    </font>
    <font>
      <b/>
      <sz val="9"/>
      <name val="Century Gothic"/>
      <family val="2"/>
    </font>
    <font>
      <b/>
      <sz val="11"/>
      <name val="Trebuchet MS"/>
      <family val="2"/>
    </font>
    <font>
      <sz val="12"/>
      <name val="Century Gothic"/>
      <family val="2"/>
    </font>
    <font>
      <i/>
      <sz val="12"/>
      <name val="Century Gothic"/>
      <family val="2"/>
    </font>
    <font>
      <sz val="11"/>
      <name val="Arial Narrow"/>
      <family val="2"/>
    </font>
    <font>
      <sz val="11"/>
      <name val="Free 3 of 9"/>
      <family val="3"/>
    </font>
    <font>
      <sz val="9"/>
      <name val="Trebuchet MS"/>
      <family val="2"/>
    </font>
    <font>
      <b/>
      <i/>
      <sz val="11"/>
      <name val="Century Gothic"/>
      <family val="2"/>
    </font>
    <font>
      <b/>
      <i/>
      <sz val="11"/>
      <name val="Trebuchet MS"/>
      <family val="2"/>
    </font>
    <font>
      <sz val="12"/>
      <name val="Trebuchet MS"/>
      <family val="2"/>
    </font>
    <font>
      <sz val="11"/>
      <name val="Calibri"/>
      <family val="2"/>
    </font>
    <font>
      <sz val="10"/>
      <name val="Arial Narrow"/>
      <family val="2"/>
    </font>
    <font>
      <sz val="32"/>
      <name val="Century Gothic"/>
      <family val="2"/>
    </font>
    <font>
      <sz val="26"/>
      <name val="Trebuchet MS"/>
      <family val="2"/>
    </font>
    <font>
      <b/>
      <sz val="12"/>
      <name val="Trebuchet MS"/>
      <family val="2"/>
    </font>
    <font>
      <i/>
      <sz val="11"/>
      <name val="Century Gothic"/>
      <family val="2"/>
    </font>
    <font>
      <i/>
      <sz val="10"/>
      <name val="Century Gothic"/>
      <family val="2"/>
    </font>
    <font>
      <b/>
      <sz val="18"/>
      <name val="Trebuchet MS"/>
      <family val="2"/>
    </font>
    <font>
      <b/>
      <sz val="10"/>
      <name val="Arial Narrow"/>
      <family val="2"/>
    </font>
    <font>
      <sz val="9"/>
      <name val="Arial Narrow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38" fillId="0" borderId="0"/>
  </cellStyleXfs>
  <cellXfs count="328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right" shrinkToFit="1"/>
    </xf>
    <xf numFmtId="0" fontId="4" fillId="0" borderId="0" xfId="0" applyFont="1" applyAlignment="1" applyProtection="1">
      <alignment horizontal="center" shrinkToFit="1"/>
      <protection locked="0"/>
    </xf>
    <xf numFmtId="0" fontId="5" fillId="0" borderId="0" xfId="0" applyFont="1" applyAlignment="1">
      <alignment horizontal="left"/>
    </xf>
    <xf numFmtId="0" fontId="6" fillId="0" borderId="0" xfId="0" quotePrefix="1" applyFont="1"/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0" fillId="0" borderId="0" xfId="0" applyFont="1"/>
    <xf numFmtId="164" fontId="4" fillId="0" borderId="1" xfId="0" applyNumberFormat="1" applyFont="1" applyBorder="1" applyAlignment="1" applyProtection="1">
      <alignment horizontal="center" shrinkToFit="1"/>
      <protection locked="0"/>
    </xf>
    <xf numFmtId="0" fontId="5" fillId="0" borderId="0" xfId="0" quotePrefix="1" applyFont="1" applyAlignment="1">
      <alignment horizontal="left"/>
    </xf>
    <xf numFmtId="0" fontId="3" fillId="0" borderId="0" xfId="0" applyFont="1" applyAlignment="1" applyProtection="1">
      <alignment vertical="center" wrapText="1"/>
      <protection locked="0"/>
    </xf>
    <xf numFmtId="0" fontId="4" fillId="0" borderId="1" xfId="0" applyFont="1" applyBorder="1" applyAlignment="1">
      <alignment horizontal="center" shrinkToFit="1"/>
    </xf>
    <xf numFmtId="165" fontId="5" fillId="0" borderId="0" xfId="0" applyNumberFormat="1" applyFont="1" applyAlignment="1">
      <alignment horizontal="left"/>
    </xf>
    <xf numFmtId="0" fontId="9" fillId="0" borderId="0" xfId="0" applyFont="1" applyAlignment="1" applyProtection="1">
      <alignment horizontal="right" vertical="center" wrapText="1"/>
      <protection locked="0"/>
    </xf>
    <xf numFmtId="0" fontId="4" fillId="0" borderId="2" xfId="0" applyFont="1" applyBorder="1" applyAlignment="1">
      <alignment horizontal="center" shrinkToFit="1"/>
    </xf>
    <xf numFmtId="0" fontId="4" fillId="0" borderId="3" xfId="0" applyFont="1" applyBorder="1" applyAlignment="1">
      <alignment horizontal="center" shrinkToFit="1"/>
    </xf>
    <xf numFmtId="166" fontId="11" fillId="0" borderId="0" xfId="0" quotePrefix="1" applyNumberFormat="1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center" wrapText="1" shrinkToFit="1"/>
    </xf>
    <xf numFmtId="1" fontId="4" fillId="0" borderId="2" xfId="0" applyNumberFormat="1" applyFont="1" applyBorder="1" applyAlignment="1" applyProtection="1">
      <alignment horizontal="center" shrinkToFit="1"/>
      <protection locked="0"/>
    </xf>
    <xf numFmtId="0" fontId="13" fillId="0" borderId="0" xfId="0" applyFont="1" applyAlignment="1">
      <alignment vertical="center"/>
    </xf>
    <xf numFmtId="0" fontId="12" fillId="0" borderId="3" xfId="0" applyFont="1" applyBorder="1" applyAlignment="1">
      <alignment horizontal="center"/>
    </xf>
    <xf numFmtId="0" fontId="9" fillId="0" borderId="0" xfId="0" applyFont="1" applyAlignment="1">
      <alignment horizontal="left" vertical="top"/>
    </xf>
    <xf numFmtId="0" fontId="4" fillId="0" borderId="0" xfId="0" applyFont="1" applyAlignment="1">
      <alignment horizontal="center" shrinkToFit="1"/>
    </xf>
    <xf numFmtId="1" fontId="4" fillId="0" borderId="2" xfId="0" quotePrefix="1" applyNumberFormat="1" applyFont="1" applyBorder="1" applyAlignment="1" applyProtection="1">
      <alignment horizontal="center" shrinkToFit="1"/>
      <protection locked="0"/>
    </xf>
    <xf numFmtId="0" fontId="14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wrapText="1" shrinkToFit="1"/>
    </xf>
    <xf numFmtId="0" fontId="4" fillId="0" borderId="0" xfId="0" applyFont="1"/>
    <xf numFmtId="0" fontId="1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9" fillId="0" borderId="0" xfId="0" applyFont="1"/>
    <xf numFmtId="0" fontId="17" fillId="0" borderId="4" xfId="3" applyFont="1" applyBorder="1" applyAlignment="1" applyProtection="1">
      <alignment horizontal="center"/>
    </xf>
    <xf numFmtId="0" fontId="18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12" fontId="8" fillId="0" borderId="0" xfId="0" applyNumberFormat="1" applyFont="1" applyAlignment="1">
      <alignment horizontal="left"/>
    </xf>
    <xf numFmtId="12" fontId="8" fillId="0" borderId="0" xfId="0" applyNumberFormat="1" applyFont="1" applyAlignment="1">
      <alignment horizontal="left" vertical="top"/>
    </xf>
    <xf numFmtId="167" fontId="8" fillId="0" borderId="0" xfId="0" applyNumberFormat="1" applyFont="1" applyAlignment="1">
      <alignment horizontal="left"/>
    </xf>
    <xf numFmtId="0" fontId="4" fillId="0" borderId="8" xfId="0" applyFont="1" applyBorder="1"/>
    <xf numFmtId="0" fontId="4" fillId="0" borderId="9" xfId="0" applyFont="1" applyBorder="1" applyAlignment="1" applyProtection="1">
      <alignment horizontal="left" shrinkToFit="1"/>
      <protection locked="0"/>
    </xf>
    <xf numFmtId="0" fontId="20" fillId="0" borderId="9" xfId="0" quotePrefix="1" applyFont="1" applyBorder="1" applyAlignment="1" applyProtection="1">
      <alignment horizontal="center"/>
      <protection locked="0"/>
    </xf>
    <xf numFmtId="168" fontId="20" fillId="0" borderId="9" xfId="0" quotePrefix="1" applyNumberFormat="1" applyFont="1" applyBorder="1" applyAlignment="1" applyProtection="1">
      <alignment horizontal="center"/>
      <protection locked="0"/>
    </xf>
    <xf numFmtId="169" fontId="20" fillId="0" borderId="9" xfId="0" quotePrefix="1" applyNumberFormat="1" applyFont="1" applyBorder="1" applyAlignment="1" applyProtection="1">
      <alignment horizontal="center"/>
      <protection locked="0"/>
    </xf>
    <xf numFmtId="168" fontId="20" fillId="0" borderId="9" xfId="0" applyNumberFormat="1" applyFont="1" applyBorder="1" applyAlignment="1" applyProtection="1">
      <alignment horizontal="center"/>
      <protection locked="0"/>
    </xf>
    <xf numFmtId="168" fontId="20" fillId="0" borderId="10" xfId="0" applyNumberFormat="1" applyFont="1" applyBorder="1" applyAlignment="1" applyProtection="1">
      <alignment horizontal="center"/>
      <protection locked="0"/>
    </xf>
    <xf numFmtId="168" fontId="12" fillId="0" borderId="0" xfId="0" applyNumberFormat="1" applyFont="1" applyAlignment="1">
      <alignment horizontal="center"/>
    </xf>
    <xf numFmtId="0" fontId="12" fillId="0" borderId="9" xfId="0" applyFont="1" applyBorder="1"/>
    <xf numFmtId="0" fontId="12" fillId="0" borderId="9" xfId="0" applyFont="1" applyBorder="1" applyAlignment="1" applyProtection="1">
      <alignment horizontal="left" shrinkToFit="1"/>
      <protection locked="0"/>
    </xf>
    <xf numFmtId="0" fontId="19" fillId="0" borderId="9" xfId="0" applyFont="1" applyBorder="1" applyAlignment="1" applyProtection="1">
      <alignment horizontal="center"/>
      <protection locked="0"/>
    </xf>
    <xf numFmtId="168" fontId="4" fillId="0" borderId="9" xfId="0" quotePrefix="1" applyNumberFormat="1" applyFont="1" applyBorder="1" applyAlignment="1" applyProtection="1">
      <alignment horizontal="center"/>
      <protection locked="0"/>
    </xf>
    <xf numFmtId="169" fontId="19" fillId="0" borderId="9" xfId="0" applyNumberFormat="1" applyFont="1" applyBorder="1" applyAlignment="1" applyProtection="1">
      <alignment horizontal="center"/>
      <protection locked="0"/>
    </xf>
    <xf numFmtId="168" fontId="19" fillId="0" borderId="9" xfId="0" applyNumberFormat="1" applyFont="1" applyBorder="1" applyAlignment="1" applyProtection="1">
      <alignment horizontal="center"/>
      <protection locked="0"/>
    </xf>
    <xf numFmtId="2" fontId="4" fillId="0" borderId="11" xfId="0" applyNumberFormat="1" applyFont="1" applyBorder="1" applyAlignment="1">
      <alignment horizontal="left"/>
    </xf>
    <xf numFmtId="2" fontId="20" fillId="0" borderId="0" xfId="0" quotePrefix="1" applyNumberFormat="1" applyFont="1" applyAlignment="1" applyProtection="1">
      <alignment horizontal="left" shrinkToFit="1"/>
      <protection locked="0"/>
    </xf>
    <xf numFmtId="2" fontId="4" fillId="0" borderId="0" xfId="0" quotePrefix="1" applyNumberFormat="1" applyFont="1" applyAlignment="1" applyProtection="1">
      <alignment horizontal="center" shrinkToFit="1"/>
      <protection locked="0"/>
    </xf>
    <xf numFmtId="0" fontId="4" fillId="0" borderId="0" xfId="0" quotePrefix="1" applyFont="1" applyAlignment="1" applyProtection="1">
      <alignment horizontal="left"/>
      <protection locked="0"/>
    </xf>
    <xf numFmtId="0" fontId="4" fillId="0" borderId="0" xfId="0" quotePrefix="1" applyFont="1" applyAlignment="1" applyProtection="1">
      <alignment horizontal="right"/>
      <protection locked="0"/>
    </xf>
    <xf numFmtId="168" fontId="20" fillId="0" borderId="0" xfId="0" quotePrefix="1" applyNumberFormat="1" applyFont="1" applyAlignment="1" applyProtection="1">
      <alignment horizontal="center"/>
      <protection locked="0"/>
    </xf>
    <xf numFmtId="168" fontId="20" fillId="0" borderId="12" xfId="0" applyNumberFormat="1" applyFont="1" applyBorder="1" applyAlignment="1" applyProtection="1">
      <alignment horizontal="center"/>
      <protection locked="0"/>
    </xf>
    <xf numFmtId="9" fontId="19" fillId="0" borderId="0" xfId="2" applyFont="1" applyAlignment="1">
      <alignment horizontal="center"/>
    </xf>
    <xf numFmtId="2" fontId="12" fillId="0" borderId="0" xfId="0" applyNumberFormat="1" applyFont="1" applyAlignment="1">
      <alignment horizontal="left"/>
    </xf>
    <xf numFmtId="2" fontId="12" fillId="0" borderId="0" xfId="0" applyNumberFormat="1" applyFont="1" applyAlignment="1" applyProtection="1">
      <alignment horizontal="left" shrinkToFit="1"/>
      <protection locked="0"/>
    </xf>
    <xf numFmtId="0" fontId="12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right"/>
      <protection locked="0"/>
    </xf>
    <xf numFmtId="168" fontId="12" fillId="0" borderId="0" xfId="0" applyNumberFormat="1" applyFont="1" applyAlignment="1" applyProtection="1">
      <alignment horizontal="center"/>
      <protection locked="0"/>
    </xf>
    <xf numFmtId="0" fontId="4" fillId="0" borderId="11" xfId="0" applyFont="1" applyBorder="1"/>
    <xf numFmtId="0" fontId="4" fillId="0" borderId="0" xfId="0" quotePrefix="1" applyFont="1" applyAlignment="1">
      <alignment horizontal="center"/>
    </xf>
    <xf numFmtId="0" fontId="4" fillId="0" borderId="4" xfId="0" quotePrefix="1" applyFont="1" applyBorder="1" applyAlignment="1" applyProtection="1">
      <alignment horizontal="center"/>
      <protection locked="0"/>
    </xf>
    <xf numFmtId="0" fontId="4" fillId="0" borderId="4" xfId="0" quotePrefix="1" applyFont="1" applyBorder="1" applyAlignment="1" applyProtection="1">
      <alignment horizontal="right"/>
      <protection locked="0"/>
    </xf>
    <xf numFmtId="168" fontId="21" fillId="0" borderId="4" xfId="0" quotePrefix="1" applyNumberFormat="1" applyFont="1" applyBorder="1" applyAlignment="1" applyProtection="1">
      <alignment horizontal="center"/>
      <protection locked="0"/>
    </xf>
    <xf numFmtId="168" fontId="21" fillId="0" borderId="13" xfId="0" applyNumberFormat="1" applyFont="1" applyBorder="1" applyAlignment="1" applyProtection="1">
      <alignment horizontal="center"/>
      <protection locked="0"/>
    </xf>
    <xf numFmtId="2" fontId="22" fillId="0" borderId="0" xfId="0" applyNumberFormat="1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2" fontId="12" fillId="0" borderId="0" xfId="0" applyNumberFormat="1" applyFont="1" applyAlignment="1" applyProtection="1">
      <alignment horizontal="left" shrinkToFit="1"/>
      <protection locked="0"/>
    </xf>
    <xf numFmtId="0" fontId="24" fillId="0" borderId="0" xfId="0" applyFont="1"/>
    <xf numFmtId="0" fontId="20" fillId="0" borderId="0" xfId="0" quotePrefix="1" applyFont="1" applyAlignment="1" applyProtection="1">
      <alignment horizontal="left" shrinkToFit="1"/>
      <protection locked="0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169" fontId="12" fillId="0" borderId="0" xfId="2" applyNumberFormat="1" applyFont="1" applyAlignment="1">
      <alignment horizontal="center"/>
    </xf>
    <xf numFmtId="2" fontId="22" fillId="0" borderId="0" xfId="0" applyNumberFormat="1" applyFont="1" applyAlignment="1" applyProtection="1">
      <alignment horizontal="center" shrinkToFit="1"/>
      <protection locked="0"/>
    </xf>
    <xf numFmtId="0" fontId="22" fillId="0" borderId="0" xfId="0" applyFont="1" applyAlignment="1" applyProtection="1">
      <alignment horizontal="center" shrinkToFit="1"/>
      <protection locked="0"/>
    </xf>
    <xf numFmtId="170" fontId="12" fillId="0" borderId="0" xfId="0" applyNumberFormat="1" applyFont="1" applyAlignment="1" applyProtection="1">
      <alignment horizontal="center"/>
      <protection locked="0"/>
    </xf>
    <xf numFmtId="170" fontId="12" fillId="0" borderId="0" xfId="0" applyNumberFormat="1" applyFont="1"/>
    <xf numFmtId="0" fontId="12" fillId="0" borderId="0" xfId="0" applyFont="1" applyAlignment="1" applyProtection="1">
      <alignment horizontal="left" shrinkToFit="1"/>
      <protection locked="0"/>
    </xf>
    <xf numFmtId="0" fontId="26" fillId="0" borderId="5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0" fillId="0" borderId="11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168" fontId="20" fillId="0" borderId="0" xfId="0" applyNumberFormat="1" applyFont="1" applyAlignment="1" applyProtection="1">
      <alignment horizontal="center"/>
      <protection locked="0"/>
    </xf>
    <xf numFmtId="170" fontId="12" fillId="0" borderId="0" xfId="0" applyNumberFormat="1" applyFont="1" applyAlignment="1">
      <alignment horizontal="left"/>
    </xf>
    <xf numFmtId="0" fontId="22" fillId="0" borderId="0" xfId="0" applyFont="1" applyAlignment="1" applyProtection="1">
      <alignment horizontal="left" shrinkToFit="1"/>
      <protection locked="0"/>
    </xf>
    <xf numFmtId="0" fontId="12" fillId="0" borderId="11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168" fontId="12" fillId="0" borderId="12" xfId="0" applyNumberFormat="1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shrinkToFit="1"/>
      <protection locked="0"/>
    </xf>
    <xf numFmtId="0" fontId="4" fillId="0" borderId="11" xfId="0" applyFont="1" applyBorder="1" applyAlignment="1">
      <alignment horizontal="center" shrinkToFit="1"/>
    </xf>
    <xf numFmtId="0" fontId="9" fillId="0" borderId="0" xfId="0" applyFont="1" applyAlignment="1">
      <alignment horizontal="center" shrinkToFit="1"/>
    </xf>
    <xf numFmtId="2" fontId="22" fillId="0" borderId="0" xfId="0" applyNumberFormat="1" applyFont="1" applyAlignment="1" applyProtection="1">
      <alignment horizontal="right" shrinkToFit="1"/>
      <protection locked="0"/>
    </xf>
    <xf numFmtId="0" fontId="22" fillId="0" borderId="0" xfId="0" applyFont="1" applyAlignment="1" applyProtection="1">
      <alignment horizontal="right" shrinkToFit="1"/>
      <protection locked="0"/>
    </xf>
    <xf numFmtId="170" fontId="12" fillId="0" borderId="0" xfId="0" applyNumberFormat="1" applyFont="1" applyAlignment="1" applyProtection="1">
      <alignment horizontal="right"/>
      <protection locked="0"/>
    </xf>
    <xf numFmtId="0" fontId="12" fillId="0" borderId="11" xfId="0" applyFont="1" applyBorder="1" applyAlignment="1">
      <alignment horizontal="center" shrinkToFit="1"/>
    </xf>
    <xf numFmtId="0" fontId="8" fillId="0" borderId="0" xfId="0" applyFont="1" applyAlignment="1">
      <alignment horizontal="center" shrinkToFit="1"/>
    </xf>
    <xf numFmtId="1" fontId="12" fillId="0" borderId="0" xfId="0" applyNumberFormat="1" applyFont="1" applyAlignment="1">
      <alignment horizontal="right"/>
    </xf>
    <xf numFmtId="1" fontId="22" fillId="0" borderId="0" xfId="0" applyNumberFormat="1" applyFont="1" applyAlignment="1" applyProtection="1">
      <alignment horizontal="right" shrinkToFit="1"/>
      <protection locked="0"/>
    </xf>
    <xf numFmtId="1" fontId="12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 applyAlignment="1" applyProtection="1">
      <alignment horizontal="center"/>
      <protection locked="0"/>
    </xf>
    <xf numFmtId="168" fontId="20" fillId="0" borderId="0" xfId="1" applyNumberFormat="1" applyFont="1" applyBorder="1" applyAlignment="1" applyProtection="1">
      <alignment horizontal="center" vertical="center"/>
      <protection locked="0"/>
    </xf>
    <xf numFmtId="168" fontId="20" fillId="0" borderId="12" xfId="1" applyNumberFormat="1" applyFont="1" applyBorder="1" applyAlignment="1" applyProtection="1">
      <alignment horizontal="center" vertical="center"/>
      <protection locked="0"/>
    </xf>
    <xf numFmtId="16" fontId="20" fillId="0" borderId="0" xfId="0" quotePrefix="1" applyNumberFormat="1" applyFont="1" applyAlignment="1" applyProtection="1">
      <alignment horizontal="left" shrinkToFit="1"/>
      <protection locked="0"/>
    </xf>
    <xf numFmtId="0" fontId="20" fillId="0" borderId="1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 applyProtection="1">
      <alignment horizontal="center"/>
      <protection locked="0"/>
    </xf>
    <xf numFmtId="0" fontId="20" fillId="0" borderId="12" xfId="0" applyFont="1" applyBorder="1" applyAlignment="1" applyProtection="1">
      <alignment horizontal="center"/>
      <protection locked="0"/>
    </xf>
    <xf numFmtId="16" fontId="12" fillId="0" borderId="0" xfId="0" applyNumberFormat="1" applyFont="1" applyAlignment="1" applyProtection="1">
      <alignment horizontal="left" shrinkToFit="1"/>
      <protection locked="0"/>
    </xf>
    <xf numFmtId="0" fontId="12" fillId="0" borderId="1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 applyProtection="1">
      <alignment horizontal="center"/>
      <protection locked="0"/>
    </xf>
    <xf numFmtId="0" fontId="12" fillId="0" borderId="12" xfId="0" applyFont="1" applyBorder="1" applyAlignment="1" applyProtection="1">
      <alignment horizontal="center"/>
      <protection locked="0"/>
    </xf>
    <xf numFmtId="3" fontId="20" fillId="0" borderId="0" xfId="0" applyNumberFormat="1" applyFont="1" applyAlignment="1" applyProtection="1">
      <alignment horizontal="center"/>
      <protection locked="0"/>
    </xf>
    <xf numFmtId="3" fontId="20" fillId="0" borderId="12" xfId="0" applyNumberFormat="1" applyFont="1" applyBorder="1" applyAlignment="1" applyProtection="1">
      <alignment horizontal="center"/>
      <protection locked="0"/>
    </xf>
    <xf numFmtId="3" fontId="12" fillId="0" borderId="0" xfId="0" applyNumberFormat="1" applyFont="1" applyAlignment="1" applyProtection="1">
      <alignment horizontal="center"/>
      <protection locked="0"/>
    </xf>
    <xf numFmtId="3" fontId="12" fillId="0" borderId="12" xfId="0" applyNumberFormat="1" applyFont="1" applyBorder="1" applyAlignment="1" applyProtection="1">
      <alignment horizontal="center"/>
      <protection locked="0"/>
    </xf>
    <xf numFmtId="0" fontId="25" fillId="0" borderId="11" xfId="0" applyFont="1" applyBorder="1" applyAlignment="1">
      <alignment horizontal="left"/>
    </xf>
    <xf numFmtId="0" fontId="20" fillId="0" borderId="0" xfId="0" applyFont="1" applyAlignment="1" applyProtection="1">
      <alignment horizontal="center" shrinkToFit="1"/>
      <protection locked="0"/>
    </xf>
    <xf numFmtId="0" fontId="26" fillId="0" borderId="0" xfId="0" applyFont="1" applyAlignment="1">
      <alignment horizontal="left"/>
    </xf>
    <xf numFmtId="0" fontId="27" fillId="0" borderId="0" xfId="0" applyFont="1" applyAlignment="1" applyProtection="1">
      <alignment horizontal="center" shrinkToFit="1"/>
      <protection locked="0"/>
    </xf>
    <xf numFmtId="0" fontId="4" fillId="0" borderId="11" xfId="0" quotePrefix="1" applyFont="1" applyBorder="1" applyAlignment="1">
      <alignment horizontal="left"/>
    </xf>
    <xf numFmtId="0" fontId="4" fillId="0" borderId="12" xfId="0" applyFont="1" applyBorder="1" applyAlignment="1" applyProtection="1">
      <alignment horizontal="left" shrinkToFit="1"/>
      <protection locked="0"/>
    </xf>
    <xf numFmtId="0" fontId="25" fillId="0" borderId="8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1" fontId="28" fillId="0" borderId="0" xfId="0" applyNumberFormat="1" applyFont="1" applyAlignment="1">
      <alignment horizontal="right" vertical="center"/>
    </xf>
    <xf numFmtId="0" fontId="27" fillId="0" borderId="0" xfId="0" applyFont="1" applyAlignment="1" applyProtection="1">
      <alignment horizontal="left" shrinkToFit="1"/>
      <protection locked="0"/>
    </xf>
    <xf numFmtId="0" fontId="26" fillId="0" borderId="1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0" xfId="0" quotePrefix="1" applyFont="1" applyAlignment="1">
      <alignment horizontal="left"/>
    </xf>
    <xf numFmtId="0" fontId="25" fillId="0" borderId="1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2" xfId="0" applyFont="1" applyBorder="1" applyAlignment="1">
      <alignment horizontal="center"/>
    </xf>
    <xf numFmtId="1" fontId="5" fillId="0" borderId="0" xfId="0" applyNumberFormat="1" applyFont="1" applyAlignment="1">
      <alignment horizontal="right"/>
    </xf>
    <xf numFmtId="0" fontId="27" fillId="0" borderId="0" xfId="0" applyFont="1" applyAlignment="1">
      <alignment horizontal="left"/>
    </xf>
    <xf numFmtId="1" fontId="5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29" fillId="0" borderId="0" xfId="0" applyFont="1" applyAlignment="1" applyProtection="1">
      <alignment horizontal="right" shrinkToFit="1"/>
      <protection locked="0"/>
    </xf>
    <xf numFmtId="0" fontId="20" fillId="0" borderId="14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30" fillId="0" borderId="9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31" fillId="0" borderId="0" xfId="0" applyFont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170" fontId="5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right"/>
      <protection locked="0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2" fillId="0" borderId="0" xfId="0" applyFont="1" applyAlignment="1" applyProtection="1">
      <alignment horizontal="center" shrinkToFit="1"/>
      <protection locked="0"/>
    </xf>
    <xf numFmtId="0" fontId="5" fillId="0" borderId="0" xfId="0" applyFont="1" applyAlignment="1">
      <alignment horizontal="right" vertical="center" shrinkToFit="1"/>
    </xf>
    <xf numFmtId="0" fontId="6" fillId="0" borderId="0" xfId="0" applyFont="1" applyAlignment="1" applyProtection="1">
      <alignment horizontal="center" shrinkToFit="1"/>
      <protection locked="0"/>
    </xf>
    <xf numFmtId="0" fontId="20" fillId="0" borderId="20" xfId="0" applyFont="1" applyBorder="1" applyAlignment="1" applyProtection="1">
      <alignment horizontal="left" vertical="top" wrapText="1" shrinkToFit="1"/>
      <protection locked="0"/>
    </xf>
    <xf numFmtId="0" fontId="20" fillId="0" borderId="21" xfId="0" applyFont="1" applyBorder="1" applyAlignment="1" applyProtection="1">
      <alignment horizontal="left" vertical="top" wrapText="1" shrinkToFit="1"/>
      <protection locked="0"/>
    </xf>
    <xf numFmtId="0" fontId="32" fillId="0" borderId="20" xfId="0" applyFont="1" applyBorder="1" applyAlignment="1" applyProtection="1">
      <alignment horizontal="left" vertical="top" wrapText="1" shrinkToFit="1"/>
      <protection locked="0"/>
    </xf>
    <xf numFmtId="0" fontId="27" fillId="0" borderId="21" xfId="0" applyFont="1" applyBorder="1" applyAlignment="1" applyProtection="1">
      <alignment horizontal="left" vertical="top" wrapText="1" shrinkToFit="1"/>
      <protection locked="0"/>
    </xf>
    <xf numFmtId="0" fontId="20" fillId="0" borderId="11" xfId="0" applyFont="1" applyBorder="1" applyAlignment="1" applyProtection="1">
      <alignment horizontal="left" vertical="top" wrapText="1" shrinkToFit="1"/>
      <protection locked="0"/>
    </xf>
    <xf numFmtId="0" fontId="20" fillId="0" borderId="12" xfId="0" applyFont="1" applyBorder="1" applyAlignment="1" applyProtection="1">
      <alignment horizontal="left" vertical="top" wrapText="1" shrinkToFit="1"/>
      <protection locked="0"/>
    </xf>
    <xf numFmtId="0" fontId="27" fillId="0" borderId="0" xfId="0" applyFont="1" applyAlignment="1">
      <alignment horizontal="right"/>
    </xf>
    <xf numFmtId="0" fontId="27" fillId="0" borderId="11" xfId="0" applyFont="1" applyBorder="1" applyAlignment="1" applyProtection="1">
      <alignment horizontal="left" vertical="top" wrapText="1" shrinkToFit="1"/>
      <protection locked="0"/>
    </xf>
    <xf numFmtId="0" fontId="27" fillId="0" borderId="12" xfId="0" applyFont="1" applyBorder="1" applyAlignment="1" applyProtection="1">
      <alignment horizontal="left" vertical="top" wrapText="1" shrinkToFit="1"/>
      <protection locked="0"/>
    </xf>
    <xf numFmtId="0" fontId="20" fillId="0" borderId="22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170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12" fillId="0" borderId="22" xfId="0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20" fillId="0" borderId="25" xfId="0" applyFont="1" applyBorder="1" applyAlignment="1" applyProtection="1">
      <alignment horizontal="left" vertical="top" wrapText="1" shrinkToFit="1"/>
      <protection locked="0"/>
    </xf>
    <xf numFmtId="0" fontId="20" fillId="0" borderId="13" xfId="0" applyFont="1" applyBorder="1" applyAlignment="1" applyProtection="1">
      <alignment horizontal="left" vertical="top" wrapText="1" shrinkToFit="1"/>
      <protection locked="0"/>
    </xf>
    <xf numFmtId="0" fontId="20" fillId="0" borderId="26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28" xfId="0" applyFont="1" applyBorder="1" applyAlignment="1">
      <alignment horizontal="center" shrinkToFit="1"/>
    </xf>
    <xf numFmtId="0" fontId="20" fillId="0" borderId="29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7" fillId="0" borderId="25" xfId="0" applyFont="1" applyBorder="1" applyAlignment="1" applyProtection="1">
      <alignment horizontal="left" vertical="top" wrapText="1" shrinkToFit="1"/>
      <protection locked="0"/>
    </xf>
    <xf numFmtId="0" fontId="27" fillId="0" borderId="13" xfId="0" applyFont="1" applyBorder="1" applyAlignment="1" applyProtection="1">
      <alignment horizontal="left" vertical="top" wrapText="1" shrinkToFit="1"/>
      <protection locked="0"/>
    </xf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33" fillId="0" borderId="8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0" fillId="0" borderId="11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20" fillId="0" borderId="25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165" fontId="4" fillId="0" borderId="11" xfId="0" applyNumberFormat="1" applyFont="1" applyBorder="1" applyAlignment="1">
      <alignment horizontal="left"/>
    </xf>
    <xf numFmtId="165" fontId="4" fillId="0" borderId="0" xfId="0" applyNumberFormat="1" applyFont="1" applyAlignment="1">
      <alignment horizontal="left"/>
    </xf>
    <xf numFmtId="0" fontId="34" fillId="0" borderId="0" xfId="0" applyFont="1"/>
    <xf numFmtId="0" fontId="9" fillId="0" borderId="12" xfId="0" applyFont="1" applyBorder="1"/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shrinkToFit="1"/>
    </xf>
    <xf numFmtId="0" fontId="20" fillId="0" borderId="13" xfId="0" applyFont="1" applyBorder="1" applyAlignment="1">
      <alignment horizontal="center" shrinkToFit="1"/>
    </xf>
    <xf numFmtId="0" fontId="22" fillId="0" borderId="0" xfId="0" applyFont="1" applyAlignment="1" applyProtection="1">
      <alignment horizontal="center" shrinkToFit="1"/>
      <protection locked="0"/>
    </xf>
    <xf numFmtId="9" fontId="5" fillId="0" borderId="0" xfId="2" applyFont="1" applyAlignment="1" applyProtection="1">
      <alignment horizontal="center"/>
      <protection locked="0"/>
    </xf>
    <xf numFmtId="0" fontId="32" fillId="0" borderId="0" xfId="0" applyFont="1" applyAlignment="1">
      <alignment horizontal="left" vertical="center" shrinkToFit="1"/>
    </xf>
    <xf numFmtId="0" fontId="22" fillId="0" borderId="0" xfId="0" applyFont="1" applyProtection="1">
      <protection locked="0"/>
    </xf>
    <xf numFmtId="170" fontId="5" fillId="0" borderId="0" xfId="0" applyNumberFormat="1" applyFont="1" applyProtection="1">
      <protection locked="0"/>
    </xf>
    <xf numFmtId="169" fontId="5" fillId="0" borderId="0" xfId="0" applyNumberFormat="1" applyFont="1" applyProtection="1">
      <protection locked="0"/>
    </xf>
    <xf numFmtId="0" fontId="35" fillId="0" borderId="0" xfId="0" applyFont="1" applyAlignment="1">
      <alignment horizontal="left" vertical="center" shrinkToFit="1"/>
    </xf>
    <xf numFmtId="0" fontId="24" fillId="0" borderId="0" xfId="0" applyFont="1" applyAlignment="1">
      <alignment horizontal="left"/>
    </xf>
    <xf numFmtId="2" fontId="29" fillId="0" borderId="0" xfId="0" applyNumberFormat="1" applyFont="1"/>
    <xf numFmtId="0" fontId="29" fillId="0" borderId="0" xfId="0" applyFont="1"/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right"/>
    </xf>
    <xf numFmtId="1" fontId="29" fillId="0" borderId="32" xfId="0" applyNumberFormat="1" applyFont="1" applyBorder="1" applyAlignment="1" applyProtection="1">
      <alignment horizontal="center"/>
      <protection locked="0"/>
    </xf>
    <xf numFmtId="22" fontId="29" fillId="0" borderId="0" xfId="0" applyNumberFormat="1" applyFont="1"/>
    <xf numFmtId="0" fontId="29" fillId="0" borderId="33" xfId="0" applyFont="1" applyBorder="1" applyAlignment="1" applyProtection="1">
      <alignment horizontal="center"/>
      <protection locked="0"/>
    </xf>
    <xf numFmtId="16" fontId="29" fillId="0" borderId="0" xfId="0" applyNumberFormat="1" applyFont="1" applyAlignment="1">
      <alignment horizontal="center"/>
    </xf>
    <xf numFmtId="2" fontId="29" fillId="0" borderId="33" xfId="0" applyNumberFormat="1" applyFont="1" applyBorder="1" applyAlignment="1" applyProtection="1">
      <alignment horizontal="center"/>
      <protection locked="0"/>
    </xf>
    <xf numFmtId="171" fontId="29" fillId="0" borderId="0" xfId="0" applyNumberFormat="1" applyFont="1"/>
    <xf numFmtId="9" fontId="29" fillId="0" borderId="34" xfId="2" applyFont="1" applyBorder="1" applyAlignment="1">
      <alignment horizontal="center"/>
    </xf>
    <xf numFmtId="171" fontId="29" fillId="0" borderId="0" xfId="0" applyNumberFormat="1" applyFont="1" applyAlignment="1">
      <alignment horizontal="left"/>
    </xf>
    <xf numFmtId="172" fontId="29" fillId="0" borderId="0" xfId="0" applyNumberFormat="1" applyFont="1" applyAlignment="1">
      <alignment horizontal="center"/>
    </xf>
    <xf numFmtId="170" fontId="36" fillId="0" borderId="0" xfId="0" applyNumberFormat="1" applyFont="1" applyAlignment="1">
      <alignment horizontal="center"/>
    </xf>
    <xf numFmtId="170" fontId="29" fillId="0" borderId="0" xfId="2" applyNumberFormat="1" applyFont="1" applyAlignment="1">
      <alignment horizontal="center"/>
    </xf>
    <xf numFmtId="170" fontId="29" fillId="0" borderId="0" xfId="0" applyNumberFormat="1" applyFont="1"/>
    <xf numFmtId="0" fontId="29" fillId="0" borderId="0" xfId="0" applyFont="1" applyAlignment="1">
      <alignment horizontal="left"/>
    </xf>
    <xf numFmtId="170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35" xfId="0" applyFont="1" applyBorder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/>
      <protection locked="0"/>
    </xf>
    <xf numFmtId="171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32" xfId="0" applyFont="1" applyBorder="1" applyAlignment="1" applyProtection="1">
      <alignment horizontal="center"/>
      <protection locked="0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right" vertical="center"/>
    </xf>
    <xf numFmtId="168" fontId="29" fillId="0" borderId="0" xfId="0" applyNumberFormat="1" applyFont="1" applyAlignment="1">
      <alignment horizontal="left"/>
    </xf>
    <xf numFmtId="3" fontId="29" fillId="0" borderId="0" xfId="0" applyNumberFormat="1" applyFont="1"/>
    <xf numFmtId="167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right"/>
    </xf>
    <xf numFmtId="2" fontId="29" fillId="0" borderId="35" xfId="0" applyNumberFormat="1" applyFont="1" applyBorder="1" applyAlignment="1" applyProtection="1">
      <alignment horizontal="center"/>
      <protection locked="0"/>
    </xf>
    <xf numFmtId="12" fontId="29" fillId="0" borderId="0" xfId="0" applyNumberFormat="1" applyFont="1" applyAlignment="1">
      <alignment horizontal="right"/>
    </xf>
    <xf numFmtId="6" fontId="29" fillId="0" borderId="0" xfId="0" applyNumberFormat="1" applyFont="1" applyAlignment="1" applyProtection="1">
      <alignment horizontal="center"/>
      <protection locked="0"/>
    </xf>
    <xf numFmtId="3" fontId="29" fillId="0" borderId="0" xfId="0" applyNumberFormat="1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top" wrapText="1"/>
    </xf>
    <xf numFmtId="3" fontId="29" fillId="0" borderId="0" xfId="0" applyNumberFormat="1" applyFont="1" applyAlignment="1" applyProtection="1">
      <alignment horizontal="center"/>
      <protection locked="0"/>
    </xf>
    <xf numFmtId="173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 wrapText="1"/>
    </xf>
    <xf numFmtId="173" fontId="29" fillId="0" borderId="0" xfId="0" applyNumberFormat="1" applyFont="1" applyAlignment="1">
      <alignment horizontal="center" vertical="center" wrapText="1"/>
    </xf>
    <xf numFmtId="174" fontId="29" fillId="0" borderId="0" xfId="0" applyNumberFormat="1" applyFont="1" applyAlignment="1">
      <alignment horizontal="center" vertical="center" wrapText="1"/>
    </xf>
    <xf numFmtId="175" fontId="29" fillId="0" borderId="0" xfId="0" applyNumberFormat="1" applyFont="1" applyAlignment="1">
      <alignment horizontal="center" vertical="center" wrapText="1"/>
    </xf>
    <xf numFmtId="175" fontId="29" fillId="0" borderId="0" xfId="0" applyNumberFormat="1" applyFont="1" applyAlignment="1">
      <alignment horizontal="center" vertical="center" wrapText="1"/>
    </xf>
    <xf numFmtId="2" fontId="29" fillId="0" borderId="0" xfId="0" applyNumberFormat="1" applyFont="1" applyAlignment="1">
      <alignment horizontal="center" vertical="center" wrapText="1"/>
    </xf>
    <xf numFmtId="4" fontId="29" fillId="0" borderId="0" xfId="0" applyNumberFormat="1" applyFont="1" applyAlignment="1">
      <alignment horizontal="center" vertical="center"/>
    </xf>
    <xf numFmtId="175" fontId="29" fillId="0" borderId="0" xfId="0" applyNumberFormat="1" applyFont="1" applyAlignment="1">
      <alignment vertical="top" wrapText="1"/>
    </xf>
    <xf numFmtId="173" fontId="29" fillId="0" borderId="0" xfId="0" applyNumberFormat="1" applyFont="1"/>
    <xf numFmtId="4" fontId="29" fillId="0" borderId="0" xfId="0" applyNumberFormat="1" applyFont="1" applyAlignment="1">
      <alignment horizontal="center" vertical="center" wrapText="1"/>
    </xf>
    <xf numFmtId="0" fontId="29" fillId="0" borderId="36" xfId="0" applyFont="1" applyBorder="1"/>
    <xf numFmtId="0" fontId="29" fillId="0" borderId="37" xfId="0" applyFont="1" applyBorder="1"/>
    <xf numFmtId="173" fontId="29" fillId="0" borderId="0" xfId="0" applyNumberFormat="1" applyFont="1" applyAlignment="1">
      <alignment horizontal="center" vertical="center"/>
    </xf>
    <xf numFmtId="0" fontId="37" fillId="0" borderId="38" xfId="0" applyFont="1" applyBorder="1"/>
    <xf numFmtId="0" fontId="36" fillId="0" borderId="3" xfId="0" applyFont="1" applyBorder="1"/>
    <xf numFmtId="0" fontId="29" fillId="0" borderId="39" xfId="0" applyFont="1" applyBorder="1"/>
    <xf numFmtId="2" fontId="36" fillId="0" borderId="40" xfId="0" applyNumberFormat="1" applyFont="1" applyBorder="1"/>
    <xf numFmtId="0" fontId="36" fillId="0" borderId="2" xfId="0" applyFont="1" applyBorder="1"/>
    <xf numFmtId="168" fontId="29" fillId="0" borderId="17" xfId="0" applyNumberFormat="1" applyFont="1" applyBorder="1"/>
    <xf numFmtId="0" fontId="29" fillId="0" borderId="41" xfId="0" applyFont="1" applyBorder="1" applyAlignment="1">
      <alignment vertical="center"/>
    </xf>
    <xf numFmtId="6" fontId="29" fillId="0" borderId="0" xfId="0" applyNumberFormat="1" applyFont="1" applyAlignment="1">
      <alignment vertical="center"/>
    </xf>
    <xf numFmtId="168" fontId="29" fillId="0" borderId="42" xfId="0" applyNumberFormat="1" applyFont="1" applyBorder="1"/>
    <xf numFmtId="0" fontId="29" fillId="0" borderId="41" xfId="0" applyFont="1" applyBorder="1"/>
    <xf numFmtId="16" fontId="29" fillId="0" borderId="0" xfId="0" applyNumberFormat="1" applyFont="1"/>
    <xf numFmtId="0" fontId="29" fillId="0" borderId="0" xfId="4" applyFont="1" applyAlignment="1">
      <alignment horizontal="left" wrapText="1"/>
    </xf>
    <xf numFmtId="0" fontId="29" fillId="0" borderId="38" xfId="0" applyFont="1" applyBorder="1"/>
    <xf numFmtId="0" fontId="29" fillId="0" borderId="3" xfId="0" applyFont="1" applyBorder="1"/>
    <xf numFmtId="0" fontId="29" fillId="0" borderId="23" xfId="0" applyFont="1" applyBorder="1"/>
    <xf numFmtId="0" fontId="29" fillId="0" borderId="1" xfId="4" applyFont="1" applyBorder="1" applyAlignment="1">
      <alignment horizontal="left" wrapText="1"/>
    </xf>
    <xf numFmtId="0" fontId="29" fillId="0" borderId="19" xfId="0" applyFont="1" applyBorder="1"/>
    <xf numFmtId="0" fontId="29" fillId="0" borderId="42" xfId="0" applyFont="1" applyBorder="1"/>
    <xf numFmtId="2" fontId="36" fillId="0" borderId="41" xfId="0" applyNumberFormat="1" applyFont="1" applyBorder="1"/>
    <xf numFmtId="0" fontId="36" fillId="0" borderId="0" xfId="0" applyFont="1"/>
    <xf numFmtId="170" fontId="29" fillId="0" borderId="42" xfId="0" applyNumberFormat="1" applyFont="1" applyBorder="1"/>
    <xf numFmtId="0" fontId="4" fillId="0" borderId="41" xfId="0" applyFont="1" applyBorder="1" applyAlignment="1">
      <alignment vertical="center"/>
    </xf>
    <xf numFmtId="8" fontId="4" fillId="0" borderId="0" xfId="0" applyNumberFormat="1" applyFont="1" applyAlignment="1">
      <alignment vertical="center"/>
    </xf>
    <xf numFmtId="0" fontId="4" fillId="0" borderId="40" xfId="0" applyFont="1" applyBorder="1" applyAlignment="1">
      <alignment vertical="center"/>
    </xf>
    <xf numFmtId="8" fontId="4" fillId="0" borderId="2" xfId="0" applyNumberFormat="1" applyFont="1" applyBorder="1" applyAlignment="1">
      <alignment vertical="center"/>
    </xf>
    <xf numFmtId="12" fontId="29" fillId="0" borderId="0" xfId="0" applyNumberFormat="1" applyFont="1" applyAlignment="1">
      <alignment horizontal="center"/>
    </xf>
    <xf numFmtId="168" fontId="29" fillId="0" borderId="0" xfId="0" applyNumberFormat="1" applyFont="1"/>
    <xf numFmtId="171" fontId="29" fillId="0" borderId="0" xfId="0" applyNumberFormat="1" applyFont="1" applyAlignment="1">
      <alignment horizontal="center"/>
    </xf>
  </cellXfs>
  <cellStyles count="5">
    <cellStyle name="Comma" xfId="1" builtinId="3"/>
    <cellStyle name="Hyperlink" xfId="3" builtinId="8"/>
    <cellStyle name="Normal" xfId="0" builtinId="0"/>
    <cellStyle name="Normal_QUOTE" xfId="4" xr:uid="{1EEA0C9E-EE68-48ED-9DB5-BE42415550F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/Order%20Entry%20&amp;%20Cylinder%20Quote%20update/2026%20Cylinder%20Quote%20V4.xlsm" TargetMode="External"/><Relationship Id="rId2" Type="http://schemas.openxmlformats.org/officeDocument/2006/relationships/externalLinkPath" Target="file:///C:\Users\Kane\Desktop\Order%20Entry%20&amp;%20Cylinder%20Quote%20update\2026%20Cylinder%20Quote%20V4.xlsm" TargetMode="External"/><Relationship Id="rId1" Type="http://schemas.openxmlformats.org/officeDocument/2006/relationships/externalLinkPath" Target="/Users/Kane/Desktop/Order%20Entry%20&amp;%20Cylinder%20Quote%20update/2026%20Cylinder%20Quote%20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Quote Form"/>
      <sheetName val="Customer"/>
      <sheetName val="master_contact_list"/>
      <sheetName val="H"/>
      <sheetName val="H2"/>
      <sheetName val="H3"/>
      <sheetName val="H4"/>
      <sheetName val="IMH"/>
      <sheetName val="MH"/>
      <sheetName val="IH"/>
      <sheetName val="IH2"/>
      <sheetName val="IH3"/>
      <sheetName val="IH4"/>
      <sheetName val="Acc"/>
      <sheetName val="A"/>
      <sheetName val="A2"/>
      <sheetName val="A3"/>
      <sheetName val="A4"/>
      <sheetName val="PH"/>
      <sheetName val="VA"/>
      <sheetName val="Inventory"/>
      <sheetName val="ShipVia"/>
      <sheetName val="Seal Kit"/>
    </sheetNames>
    <sheetDataSet>
      <sheetData sheetId="0">
        <row r="1">
          <cell r="A1" t="str">
            <v>H-MF1-5x12x2-1-NC-S-P-S</v>
          </cell>
          <cell r="I1" t="str">
            <v>High Pressure Hydraulic Cylinder</v>
          </cell>
        </row>
        <row r="2">
          <cell r="D2" t="str">
            <v>S</v>
          </cell>
          <cell r="L2">
            <v>779</v>
          </cell>
        </row>
        <row r="3">
          <cell r="B3" t="str">
            <v>H</v>
          </cell>
        </row>
        <row r="4">
          <cell r="B4">
            <v>5</v>
          </cell>
        </row>
        <row r="5">
          <cell r="B5" t="str">
            <v>MF1</v>
          </cell>
        </row>
        <row r="6">
          <cell r="B6">
            <v>2</v>
          </cell>
          <cell r="D6">
            <v>2218</v>
          </cell>
          <cell r="N6" t="str">
            <v>Rect Head Flange (MF1)</v>
          </cell>
        </row>
        <row r="8">
          <cell r="B8">
            <v>12</v>
          </cell>
        </row>
        <row r="9">
          <cell r="D9" t="str">
            <v>1 1/2-12</v>
          </cell>
        </row>
        <row r="13">
          <cell r="I13">
            <v>2218</v>
          </cell>
        </row>
        <row r="16">
          <cell r="I16">
            <v>3000</v>
          </cell>
        </row>
        <row r="18">
          <cell r="I18">
            <v>58905</v>
          </cell>
        </row>
        <row r="20">
          <cell r="I20">
            <v>49481</v>
          </cell>
        </row>
        <row r="23">
          <cell r="D23" t="str">
            <v>Male</v>
          </cell>
        </row>
        <row r="27">
          <cell r="D27">
            <v>122.8</v>
          </cell>
        </row>
        <row r="28">
          <cell r="D28" t="str">
            <v>Non Cushion</v>
          </cell>
        </row>
        <row r="30">
          <cell r="D30" t="str">
            <v>Polyurethane</v>
          </cell>
        </row>
      </sheetData>
      <sheetData sheetId="1"/>
      <sheetData sheetId="2">
        <row r="1">
          <cell r="B1" t="str">
            <v>Kj</v>
          </cell>
          <cell r="D1" t="str">
            <v>Utica,MS 39175</v>
          </cell>
          <cell r="E1">
            <v>0</v>
          </cell>
        </row>
      </sheetData>
      <sheetData sheetId="3"/>
      <sheetData sheetId="4">
        <row r="5">
          <cell r="Z5">
            <v>779</v>
          </cell>
        </row>
        <row r="7">
          <cell r="N7">
            <v>0.625</v>
          </cell>
          <cell r="O7" t="str">
            <v>7/16-20</v>
          </cell>
          <cell r="P7" t="str">
            <v>1/2-20</v>
          </cell>
        </row>
        <row r="8">
          <cell r="N8">
            <v>1</v>
          </cell>
          <cell r="O8" t="str">
            <v>3/4-16</v>
          </cell>
          <cell r="P8" t="str">
            <v>7/8-14</v>
          </cell>
        </row>
        <row r="9">
          <cell r="N9">
            <v>1</v>
          </cell>
          <cell r="O9" t="str">
            <v>3/4-16</v>
          </cell>
          <cell r="P9" t="str">
            <v>7/8-14</v>
          </cell>
        </row>
        <row r="10">
          <cell r="N10">
            <v>1.375</v>
          </cell>
          <cell r="O10" t="str">
            <v>1-14</v>
          </cell>
          <cell r="P10" t="str">
            <v>1 1/4-12</v>
          </cell>
        </row>
        <row r="11">
          <cell r="N11">
            <v>1</v>
          </cell>
          <cell r="O11" t="str">
            <v>3/4-16</v>
          </cell>
          <cell r="P11" t="str">
            <v>7/8-14</v>
          </cell>
        </row>
        <row r="12">
          <cell r="N12">
            <v>1.375</v>
          </cell>
          <cell r="O12" t="str">
            <v>1-14</v>
          </cell>
          <cell r="P12" t="str">
            <v>1 1/4-12</v>
          </cell>
        </row>
        <row r="13">
          <cell r="N13">
            <v>1.75</v>
          </cell>
          <cell r="O13" t="str">
            <v>1 1/4-12</v>
          </cell>
          <cell r="P13" t="str">
            <v>1 1/2-12</v>
          </cell>
        </row>
        <row r="14">
          <cell r="N14">
            <v>1.375</v>
          </cell>
          <cell r="O14" t="str">
            <v>1-14</v>
          </cell>
          <cell r="P14" t="str">
            <v>1 1/4-12</v>
          </cell>
        </row>
        <row r="15">
          <cell r="N15">
            <v>1.75</v>
          </cell>
          <cell r="O15" t="str">
            <v>1 1/4-12</v>
          </cell>
          <cell r="P15" t="str">
            <v>1 1/2-12</v>
          </cell>
        </row>
        <row r="16">
          <cell r="N16">
            <v>2</v>
          </cell>
          <cell r="O16" t="str">
            <v>1 1/2-12</v>
          </cell>
          <cell r="P16" t="str">
            <v>1 3/4-12</v>
          </cell>
        </row>
        <row r="17">
          <cell r="N17">
            <v>1.75</v>
          </cell>
          <cell r="O17" t="str">
            <v>1 1/4-12</v>
          </cell>
          <cell r="P17" t="str">
            <v>1 1/2-12</v>
          </cell>
        </row>
        <row r="18">
          <cell r="N18">
            <v>2</v>
          </cell>
          <cell r="O18" t="str">
            <v>1 1/2-12</v>
          </cell>
          <cell r="P18" t="str">
            <v>1 3/4-12</v>
          </cell>
        </row>
        <row r="19">
          <cell r="N19">
            <v>2.5</v>
          </cell>
          <cell r="O19" t="str">
            <v>1 7/8-12</v>
          </cell>
          <cell r="P19" t="str">
            <v>2 1/4-12</v>
          </cell>
        </row>
        <row r="20">
          <cell r="N20">
            <v>2</v>
          </cell>
          <cell r="O20" t="str">
            <v>1 1/2-12</v>
          </cell>
          <cell r="P20" t="str">
            <v>1 3/4-12</v>
          </cell>
        </row>
        <row r="21">
          <cell r="N21">
            <v>2.5</v>
          </cell>
          <cell r="O21" t="str">
            <v>1 7/8-12</v>
          </cell>
          <cell r="P21" t="str">
            <v>2 1/4-12</v>
          </cell>
        </row>
        <row r="22">
          <cell r="N22">
            <v>3</v>
          </cell>
          <cell r="O22" t="str">
            <v>2 1/4-12</v>
          </cell>
          <cell r="P22" t="str">
            <v>2 3/4-12</v>
          </cell>
        </row>
        <row r="23">
          <cell r="N23">
            <v>3.5</v>
          </cell>
          <cell r="O23" t="str">
            <v>2 1/2-12</v>
          </cell>
          <cell r="P23" t="str">
            <v>3 1/4-12</v>
          </cell>
        </row>
        <row r="24">
          <cell r="N24">
            <v>2.5</v>
          </cell>
          <cell r="O24" t="str">
            <v>1 7/8-12</v>
          </cell>
          <cell r="P24" t="str">
            <v>2 1/4-12</v>
          </cell>
        </row>
        <row r="25">
          <cell r="N25">
            <v>3</v>
          </cell>
          <cell r="O25" t="str">
            <v>2 1/4-12</v>
          </cell>
          <cell r="P25" t="str">
            <v>2 3/4-12</v>
          </cell>
        </row>
        <row r="26">
          <cell r="N26">
            <v>3.5</v>
          </cell>
          <cell r="O26" t="str">
            <v>2 1/2-12</v>
          </cell>
          <cell r="P26" t="str">
            <v>3 1/4-12</v>
          </cell>
        </row>
        <row r="27">
          <cell r="N27">
            <v>4</v>
          </cell>
          <cell r="O27" t="str">
            <v>3-12</v>
          </cell>
          <cell r="P27" t="str">
            <v>3 3/4-12</v>
          </cell>
        </row>
        <row r="28">
          <cell r="N28">
            <v>3</v>
          </cell>
          <cell r="O28" t="str">
            <v>2 1/4-12</v>
          </cell>
          <cell r="P28" t="str">
            <v>2 3/4-12</v>
          </cell>
        </row>
        <row r="29">
          <cell r="N29">
            <v>3.5</v>
          </cell>
          <cell r="O29" t="str">
            <v>2 1/2-12</v>
          </cell>
          <cell r="P29" t="str">
            <v>3 1/4-12</v>
          </cell>
        </row>
        <row r="30">
          <cell r="N30">
            <v>4</v>
          </cell>
          <cell r="O30" t="str">
            <v>3-12</v>
          </cell>
          <cell r="P30" t="str">
            <v>3 3/4-12</v>
          </cell>
        </row>
        <row r="31">
          <cell r="N31">
            <v>4.5</v>
          </cell>
          <cell r="O31" t="str">
            <v>3 1/4-12</v>
          </cell>
          <cell r="P31" t="str">
            <v>4 1/4-12</v>
          </cell>
        </row>
        <row r="32">
          <cell r="N32">
            <v>5</v>
          </cell>
          <cell r="O32" t="str">
            <v>3 1/2-12</v>
          </cell>
          <cell r="P32" t="str">
            <v>4 3/4-12</v>
          </cell>
        </row>
        <row r="33">
          <cell r="N33">
            <v>3.5</v>
          </cell>
          <cell r="O33" t="str">
            <v>2 1/2-12</v>
          </cell>
          <cell r="P33" t="str">
            <v>3 1/4-12</v>
          </cell>
        </row>
        <row r="34">
          <cell r="N34">
            <v>4</v>
          </cell>
          <cell r="O34" t="str">
            <v>3-12</v>
          </cell>
          <cell r="P34" t="str">
            <v>3 3/4-12</v>
          </cell>
        </row>
        <row r="35">
          <cell r="N35">
            <v>4.5</v>
          </cell>
          <cell r="O35" t="str">
            <v>3 1/4-12</v>
          </cell>
          <cell r="P35" t="str">
            <v>4 1/4-12</v>
          </cell>
        </row>
        <row r="36">
          <cell r="N36">
            <v>5</v>
          </cell>
          <cell r="O36" t="str">
            <v>3 1/2-12</v>
          </cell>
          <cell r="P36" t="str">
            <v>4 3/4-12</v>
          </cell>
        </row>
        <row r="37">
          <cell r="N37">
            <v>5.5</v>
          </cell>
          <cell r="O37" t="str">
            <v>4-12</v>
          </cell>
          <cell r="P37" t="str">
            <v>5 1/4-12</v>
          </cell>
        </row>
        <row r="38">
          <cell r="N38">
            <v>4.5</v>
          </cell>
          <cell r="O38" t="str">
            <v>3 1/4-12</v>
          </cell>
          <cell r="P38" t="str">
            <v>4 1/4-12</v>
          </cell>
        </row>
        <row r="39">
          <cell r="N39">
            <v>5</v>
          </cell>
          <cell r="O39" t="str">
            <v>3 1/2-12</v>
          </cell>
          <cell r="P39" t="str">
            <v>4 3/4-12</v>
          </cell>
        </row>
        <row r="40">
          <cell r="N40">
            <v>5.5</v>
          </cell>
          <cell r="O40" t="str">
            <v>4-12</v>
          </cell>
          <cell r="P40" t="str">
            <v>5 1/4-12</v>
          </cell>
        </row>
        <row r="41">
          <cell r="N41">
            <v>7</v>
          </cell>
          <cell r="O41" t="str">
            <v>5 1/2-12</v>
          </cell>
          <cell r="P41" t="str">
            <v>6 1/2-12</v>
          </cell>
        </row>
        <row r="42">
          <cell r="N42">
            <v>5.5</v>
          </cell>
          <cell r="O42" t="str">
            <v>4-12</v>
          </cell>
          <cell r="P42" t="str">
            <v>5 1/4-12</v>
          </cell>
        </row>
        <row r="43">
          <cell r="N43">
            <v>7</v>
          </cell>
          <cell r="O43" t="str">
            <v>5-12</v>
          </cell>
          <cell r="P43" t="str">
            <v>6 1/2-12</v>
          </cell>
        </row>
        <row r="44">
          <cell r="N44">
            <v>8</v>
          </cell>
          <cell r="O44" t="str">
            <v>5 3/4-12</v>
          </cell>
          <cell r="P44" t="str">
            <v>7 1/2-12</v>
          </cell>
        </row>
        <row r="45">
          <cell r="N45">
            <v>8</v>
          </cell>
          <cell r="O45" t="str">
            <v>5 3/4-12</v>
          </cell>
          <cell r="P45" t="str">
            <v>7 1/2-12</v>
          </cell>
        </row>
        <row r="46">
          <cell r="N46">
            <v>10</v>
          </cell>
          <cell r="O46" t="str">
            <v>7 1/4-12</v>
          </cell>
          <cell r="P46" t="str">
            <v>9 1/2-12</v>
          </cell>
        </row>
        <row r="47">
          <cell r="N47">
            <v>8</v>
          </cell>
          <cell r="O47" t="str">
            <v>5 3/4-12</v>
          </cell>
          <cell r="P47" t="str">
            <v>7 1/2-12</v>
          </cell>
        </row>
        <row r="48">
          <cell r="N48">
            <v>10</v>
          </cell>
          <cell r="O48" t="str">
            <v>7 1/4-12</v>
          </cell>
          <cell r="P48" t="str">
            <v>9 1/2-12</v>
          </cell>
        </row>
        <row r="49">
          <cell r="N49">
            <v>8</v>
          </cell>
          <cell r="O49" t="str">
            <v>5 3/4-12</v>
          </cell>
          <cell r="P49" t="str">
            <v>7 1/2-12</v>
          </cell>
        </row>
        <row r="50">
          <cell r="N50">
            <v>10</v>
          </cell>
          <cell r="O50" t="str">
            <v>7 1/4-12</v>
          </cell>
          <cell r="P50" t="str">
            <v>9 1/2-12</v>
          </cell>
        </row>
        <row r="51">
          <cell r="N51">
            <v>10</v>
          </cell>
          <cell r="O51" t="str">
            <v>7 1/4-12</v>
          </cell>
          <cell r="P51" t="str">
            <v>9 1/2-12</v>
          </cell>
        </row>
        <row r="52">
          <cell r="N52">
            <v>12</v>
          </cell>
          <cell r="O52" t="str">
            <v>M10x1.25</v>
          </cell>
          <cell r="Q52">
            <v>1846</v>
          </cell>
          <cell r="W52">
            <v>372</v>
          </cell>
        </row>
        <row r="53">
          <cell r="N53">
            <v>18</v>
          </cell>
          <cell r="O53" t="str">
            <v>M14x1.5</v>
          </cell>
        </row>
        <row r="54">
          <cell r="N54">
            <v>14</v>
          </cell>
          <cell r="O54" t="str">
            <v>M12x1.25</v>
          </cell>
        </row>
        <row r="55">
          <cell r="N55">
            <v>18</v>
          </cell>
          <cell r="O55" t="str">
            <v>M14x1.5</v>
          </cell>
        </row>
        <row r="56">
          <cell r="N56">
            <v>22</v>
          </cell>
          <cell r="O56" t="str">
            <v>M16x1.5</v>
          </cell>
        </row>
        <row r="57">
          <cell r="N57">
            <v>18</v>
          </cell>
          <cell r="O57" t="str">
            <v>M14x1.5</v>
          </cell>
        </row>
        <row r="58">
          <cell r="N58">
            <v>22</v>
          </cell>
          <cell r="O58" t="str">
            <v>M16x1.5</v>
          </cell>
        </row>
        <row r="59">
          <cell r="N59">
            <v>28</v>
          </cell>
          <cell r="O59" t="str">
            <v>M20x1.5</v>
          </cell>
        </row>
        <row r="60">
          <cell r="N60">
            <v>22</v>
          </cell>
          <cell r="O60" t="str">
            <v>M16x1.5</v>
          </cell>
        </row>
        <row r="61">
          <cell r="N61">
            <v>25</v>
          </cell>
          <cell r="O61" t="str">
            <v>M20x1.5</v>
          </cell>
        </row>
        <row r="62">
          <cell r="N62">
            <v>28</v>
          </cell>
          <cell r="O62" t="str">
            <v>M20x1.5</v>
          </cell>
        </row>
        <row r="63">
          <cell r="N63">
            <v>36</v>
          </cell>
          <cell r="O63" t="str">
            <v>M27x2</v>
          </cell>
        </row>
        <row r="64">
          <cell r="N64">
            <v>28</v>
          </cell>
          <cell r="O64" t="str">
            <v>M20x1.5</v>
          </cell>
        </row>
        <row r="65">
          <cell r="N65">
            <v>36</v>
          </cell>
          <cell r="O65" t="str">
            <v>M27x2</v>
          </cell>
        </row>
        <row r="66">
          <cell r="N66">
            <v>45</v>
          </cell>
          <cell r="O66" t="str">
            <v>M33x2</v>
          </cell>
        </row>
        <row r="67">
          <cell r="N67">
            <v>36</v>
          </cell>
          <cell r="O67" t="str">
            <v>M27x2</v>
          </cell>
        </row>
        <row r="68">
          <cell r="N68">
            <v>45</v>
          </cell>
          <cell r="O68" t="str">
            <v>M33x2</v>
          </cell>
        </row>
        <row r="69">
          <cell r="N69">
            <v>56</v>
          </cell>
          <cell r="O69" t="str">
            <v>M42x2</v>
          </cell>
        </row>
        <row r="70">
          <cell r="N70">
            <v>45</v>
          </cell>
          <cell r="O70" t="str">
            <v>M33x2</v>
          </cell>
        </row>
        <row r="71">
          <cell r="N71">
            <v>56</v>
          </cell>
          <cell r="O71" t="str">
            <v>M42x2</v>
          </cell>
        </row>
        <row r="72">
          <cell r="N72">
            <v>70</v>
          </cell>
          <cell r="O72" t="str">
            <v>M48x2</v>
          </cell>
        </row>
        <row r="73">
          <cell r="N73">
            <v>56</v>
          </cell>
          <cell r="O73" t="str">
            <v>M42x2</v>
          </cell>
        </row>
        <row r="74">
          <cell r="N74">
            <v>70</v>
          </cell>
          <cell r="O74" t="str">
            <v>M48x2</v>
          </cell>
        </row>
        <row r="75">
          <cell r="N75">
            <v>90</v>
          </cell>
          <cell r="O75" t="str">
            <v>M64x3</v>
          </cell>
        </row>
        <row r="76">
          <cell r="N76">
            <v>70</v>
          </cell>
          <cell r="O76" t="str">
            <v>M48x2</v>
          </cell>
        </row>
        <row r="77">
          <cell r="N77">
            <v>90</v>
          </cell>
          <cell r="O77" t="str">
            <v>M64x3</v>
          </cell>
        </row>
        <row r="78">
          <cell r="N78">
            <v>110</v>
          </cell>
          <cell r="O78" t="str">
            <v>M80x3</v>
          </cell>
        </row>
        <row r="79">
          <cell r="N79">
            <v>90</v>
          </cell>
          <cell r="O79" t="str">
            <v>M64x3</v>
          </cell>
        </row>
        <row r="80">
          <cell r="N80">
            <v>110</v>
          </cell>
          <cell r="O80" t="str">
            <v>M80x3</v>
          </cell>
        </row>
        <row r="81">
          <cell r="N81">
            <v>140</v>
          </cell>
          <cell r="O81" t="str">
            <v>M100x3</v>
          </cell>
        </row>
      </sheetData>
      <sheetData sheetId="5">
        <row r="53">
          <cell r="R53">
            <v>0</v>
          </cell>
        </row>
      </sheetData>
      <sheetData sheetId="6">
        <row r="53">
          <cell r="T53">
            <v>0</v>
          </cell>
        </row>
      </sheetData>
      <sheetData sheetId="7">
        <row r="53">
          <cell r="R53">
            <v>0</v>
          </cell>
        </row>
      </sheetData>
      <sheetData sheetId="8">
        <row r="27">
          <cell r="O27">
            <v>0</v>
          </cell>
          <cell r="S27">
            <v>0</v>
          </cell>
        </row>
      </sheetData>
      <sheetData sheetId="9">
        <row r="52">
          <cell r="O52">
            <v>0</v>
          </cell>
          <cell r="S52">
            <v>0</v>
          </cell>
        </row>
      </sheetData>
      <sheetData sheetId="10">
        <row r="5">
          <cell r="Z5">
            <v>0</v>
          </cell>
        </row>
        <row r="36">
          <cell r="Q36">
            <v>0</v>
          </cell>
          <cell r="W36">
            <v>0</v>
          </cell>
        </row>
      </sheetData>
      <sheetData sheetId="11">
        <row r="37">
          <cell r="R37">
            <v>0</v>
          </cell>
        </row>
      </sheetData>
      <sheetData sheetId="12">
        <row r="37">
          <cell r="U37">
            <v>0</v>
          </cell>
        </row>
      </sheetData>
      <sheetData sheetId="13">
        <row r="37">
          <cell r="S37">
            <v>0</v>
          </cell>
        </row>
      </sheetData>
      <sheetData sheetId="14">
        <row r="20">
          <cell r="O20">
            <v>225</v>
          </cell>
          <cell r="P20">
            <v>350</v>
          </cell>
          <cell r="Q20">
            <v>140</v>
          </cell>
          <cell r="R20">
            <v>500</v>
          </cell>
          <cell r="S20">
            <v>50</v>
          </cell>
        </row>
        <row r="33">
          <cell r="O33">
            <v>500</v>
          </cell>
          <cell r="P33">
            <v>475</v>
          </cell>
          <cell r="Q33">
            <v>0</v>
          </cell>
          <cell r="R33">
            <v>448</v>
          </cell>
          <cell r="S33">
            <v>386</v>
          </cell>
        </row>
        <row r="48">
          <cell r="O48">
            <v>300</v>
          </cell>
          <cell r="P48">
            <v>534</v>
          </cell>
          <cell r="S48">
            <v>80</v>
          </cell>
          <cell r="T48">
            <v>12</v>
          </cell>
        </row>
        <row r="69">
          <cell r="D69">
            <v>0</v>
          </cell>
        </row>
      </sheetData>
      <sheetData sheetId="15">
        <row r="5">
          <cell r="AI5">
            <v>0</v>
          </cell>
        </row>
        <row r="53">
          <cell r="Q53">
            <v>0</v>
          </cell>
          <cell r="W53">
            <v>0</v>
          </cell>
        </row>
      </sheetData>
      <sheetData sheetId="16">
        <row r="55">
          <cell r="O55">
            <v>0</v>
          </cell>
        </row>
      </sheetData>
      <sheetData sheetId="17">
        <row r="55">
          <cell r="Q55">
            <v>0</v>
          </cell>
        </row>
      </sheetData>
      <sheetData sheetId="18">
        <row r="55">
          <cell r="K55">
            <v>0</v>
          </cell>
        </row>
      </sheetData>
      <sheetData sheetId="19">
        <row r="33">
          <cell r="A33">
            <v>0</v>
          </cell>
        </row>
      </sheetData>
      <sheetData sheetId="20">
        <row r="20">
          <cell r="K20">
            <v>0</v>
          </cell>
        </row>
      </sheetData>
      <sheetData sheetId="21">
        <row r="1">
          <cell r="E1">
            <v>621.97713999999996</v>
          </cell>
        </row>
      </sheetData>
      <sheetData sheetId="22"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90">
          <cell r="G90" t="str">
            <v>Hyd Rod Poly Seal Kit KHR20</v>
          </cell>
          <cell r="H90">
            <v>80</v>
          </cell>
        </row>
        <row r="91">
          <cell r="G91" t="str">
            <v>Hyd Piston Poly Seal Kit KHP50</v>
          </cell>
          <cell r="H91">
            <v>233</v>
          </cell>
        </row>
        <row r="92">
          <cell r="G92" t="str">
            <v>Hyd Gland Poly Seal Kit KHG20</v>
          </cell>
          <cell r="H92">
            <v>409</v>
          </cell>
        </row>
      </sheetData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3B5-54C9-41BF-9A4B-0B3CA3E9FB77}">
  <dimension ref="A1:CE98"/>
  <sheetViews>
    <sheetView topLeftCell="A7" workbookViewId="0">
      <selection activeCell="C29" sqref="C29:D29"/>
    </sheetView>
  </sheetViews>
  <sheetFormatPr defaultColWidth="9.1796875" defaultRowHeight="13.5"/>
  <cols>
    <col min="1" max="1" width="12.81640625" style="8" bestFit="1" customWidth="1"/>
    <col min="2" max="2" width="33.453125" style="8" customWidth="1"/>
    <col min="3" max="3" width="4.81640625" style="8" customWidth="1"/>
    <col min="4" max="4" width="10.54296875" style="8" customWidth="1"/>
    <col min="5" max="5" width="12.1796875" style="8" customWidth="1"/>
    <col min="6" max="6" width="7.453125" style="8" customWidth="1"/>
    <col min="7" max="7" width="25" style="8" customWidth="1"/>
    <col min="8" max="8" width="10" style="5" customWidth="1"/>
    <col min="9" max="9" width="11.1796875" style="8" customWidth="1"/>
    <col min="10" max="10" width="7" style="8" customWidth="1"/>
    <col min="11" max="11" width="9.81640625" style="8" customWidth="1"/>
    <col min="12" max="12" width="12" style="8" bestFit="1" customWidth="1"/>
    <col min="13" max="14" width="9.1796875" style="8"/>
    <col min="15" max="15" width="13.81640625" style="8" customWidth="1"/>
    <col min="16" max="16" width="8" style="8" customWidth="1"/>
    <col min="17" max="18" width="9.1796875" style="8"/>
    <col min="19" max="19" width="59.81640625" style="8" customWidth="1"/>
    <col min="20" max="21" width="9.1796875" style="8"/>
    <col min="22" max="22" width="21.453125" style="8" bestFit="1" customWidth="1"/>
    <col min="23" max="23" width="60.1796875" style="8" customWidth="1"/>
    <col min="24" max="33" width="9.1796875" style="8"/>
    <col min="34" max="35" width="9.1796875" style="12"/>
    <col min="36" max="36" width="5.54296875" style="11" bestFit="1" customWidth="1"/>
    <col min="37" max="37" width="4.453125" style="11" bestFit="1" customWidth="1"/>
    <col min="38" max="38" width="6.453125" style="12" bestFit="1" customWidth="1"/>
    <col min="39" max="39" width="7.81640625" style="12" bestFit="1" customWidth="1"/>
    <col min="40" max="41" width="6.54296875" style="12" bestFit="1" customWidth="1"/>
    <col min="42" max="42" width="5.54296875" style="12" bestFit="1" customWidth="1"/>
    <col min="43" max="43" width="10.453125" style="12" customWidth="1"/>
    <col min="44" max="46" width="9.1796875" style="12"/>
    <col min="47" max="47" width="6" style="12" bestFit="1" customWidth="1"/>
    <col min="48" max="48" width="5.54296875" style="12" bestFit="1" customWidth="1"/>
    <col min="49" max="49" width="7.81640625" style="12" bestFit="1" customWidth="1"/>
    <col min="50" max="51" width="6.54296875" style="12" bestFit="1" customWidth="1"/>
    <col min="52" max="65" width="9.1796875" style="12"/>
    <col min="66" max="82" width="9.1796875" style="5"/>
    <col min="83" max="16384" width="9.1796875" style="8"/>
  </cols>
  <sheetData>
    <row r="1" spans="1:83" s="7" customFormat="1" ht="20.25" customHeight="1">
      <c r="A1" s="1"/>
      <c r="B1" s="2" t="s">
        <v>0</v>
      </c>
      <c r="C1" s="2"/>
      <c r="D1" s="2"/>
      <c r="E1" s="2"/>
      <c r="F1" s="3" t="s">
        <v>1</v>
      </c>
      <c r="G1" s="4" t="s">
        <v>2</v>
      </c>
      <c r="H1" s="5"/>
      <c r="I1" s="6" t="s">
        <v>3</v>
      </c>
      <c r="AF1" s="8"/>
      <c r="AG1" s="8"/>
      <c r="AH1" s="9"/>
      <c r="AI1" s="10" t="str">
        <f>IF(OR($B$13=25,$B$13=32),0.25,"")</f>
        <v/>
      </c>
      <c r="AJ1" s="11">
        <v>25</v>
      </c>
      <c r="AK1" s="11">
        <v>32</v>
      </c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</row>
    <row r="2" spans="1:83" s="7" customFormat="1" ht="18" customHeight="1">
      <c r="A2" s="14"/>
      <c r="B2" s="2"/>
      <c r="C2" s="2"/>
      <c r="D2" s="2"/>
      <c r="E2" s="2"/>
      <c r="F2" s="3" t="s">
        <v>4</v>
      </c>
      <c r="G2" s="15">
        <f ca="1">NOW()</f>
        <v>46260.454617939817</v>
      </c>
      <c r="H2" s="16" t="s">
        <v>5</v>
      </c>
      <c r="AF2" s="8"/>
      <c r="AG2" s="8"/>
      <c r="AH2" s="9"/>
      <c r="AI2" s="10" t="str">
        <f>IF($B$13=40,0.375,"")</f>
        <v/>
      </c>
      <c r="AJ2" s="11">
        <v>40</v>
      </c>
      <c r="AK2" s="11"/>
      <c r="AL2" s="12"/>
      <c r="AM2" s="12"/>
      <c r="AN2" s="12"/>
      <c r="AO2" s="12"/>
      <c r="AP2" s="12"/>
      <c r="AQ2" s="12"/>
      <c r="AS2" s="12"/>
      <c r="AW2" s="7" t="s">
        <v>5</v>
      </c>
      <c r="BB2" s="12"/>
      <c r="BG2" s="12"/>
      <c r="BH2" s="12"/>
      <c r="BI2" s="9"/>
      <c r="BJ2" s="12"/>
      <c r="BK2" s="12"/>
      <c r="BL2" s="9"/>
      <c r="BM2" s="12"/>
      <c r="BN2" s="13" t="s">
        <v>6</v>
      </c>
      <c r="BO2" s="13"/>
      <c r="BP2" s="13" t="s">
        <v>7</v>
      </c>
      <c r="BQ2" s="13" t="s">
        <v>8</v>
      </c>
      <c r="BR2" s="13" t="s">
        <v>9</v>
      </c>
      <c r="BS2" s="13" t="s">
        <v>10</v>
      </c>
      <c r="BT2" s="13" t="s">
        <v>11</v>
      </c>
      <c r="BU2" s="13" t="s">
        <v>12</v>
      </c>
      <c r="BV2" s="13" t="s">
        <v>13</v>
      </c>
      <c r="BW2" s="13" t="str">
        <f>IF(BW3&gt;0,CONCATENATE("XC = ",BW3,""""),"")</f>
        <v/>
      </c>
      <c r="BX2" s="13" t="str">
        <f>IF(BX3&gt;0,CONCATENATE("XD = ",BX3,""""),"")</f>
        <v/>
      </c>
      <c r="BY2" s="13" t="str">
        <f>IF(BY3&gt;0,CONCATENATE("XG = ",BY3,""""),"")</f>
        <v/>
      </c>
      <c r="BZ2" s="13" t="str">
        <f>IF(BZ3&gt;0,CONCATENATE("XH = ",BZ3,""""),"")</f>
        <v/>
      </c>
      <c r="CA2" s="13" t="str">
        <f>IF(CA3&gt;0,CONCATENATE("XJ = ",CA3,""""),"")</f>
        <v/>
      </c>
      <c r="CB2" s="13" t="str">
        <f>IF(CB3&gt;0,CONCATENATE("XS = ",CB3,""""),"")</f>
        <v/>
      </c>
      <c r="CC2" s="13" t="str">
        <f>IF(CC3&gt;0,CONCATENATE("XT = ",CC3,""""),"")</f>
        <v/>
      </c>
      <c r="CD2" s="13" t="str">
        <f>IF(CD3&gt;0,CONCATENATE("XC = ",CD3),"")</f>
        <v/>
      </c>
      <c r="CE2" s="7" t="str">
        <f>IF(CE3&gt;0,CONCATENATE("XC = ",CE3),"")</f>
        <v/>
      </c>
    </row>
    <row r="3" spans="1:83" s="7" customFormat="1" ht="15" customHeight="1">
      <c r="A3" s="1"/>
      <c r="B3" s="17"/>
      <c r="C3" s="17"/>
      <c r="D3" s="17"/>
      <c r="E3" s="17"/>
      <c r="F3" s="3" t="s">
        <v>14</v>
      </c>
      <c r="G3" s="18" t="s">
        <v>15</v>
      </c>
      <c r="H3" s="19"/>
      <c r="AF3" s="8"/>
      <c r="AG3" s="8"/>
      <c r="AH3" s="9"/>
      <c r="AI3" s="10" t="str">
        <f>IF(OR($B$13=50,$B$13=63),0.5,"")</f>
        <v/>
      </c>
      <c r="AJ3" s="11">
        <v>50</v>
      </c>
      <c r="AK3" s="11">
        <v>63</v>
      </c>
      <c r="AP3" s="12"/>
      <c r="AQ3" s="12"/>
      <c r="AR3" s="12"/>
      <c r="AS3" s="12"/>
      <c r="BB3" s="12"/>
      <c r="BG3" s="12"/>
      <c r="BH3" s="12"/>
      <c r="BI3" s="9"/>
      <c r="BJ3" s="12"/>
      <c r="BK3" s="12"/>
      <c r="BL3" s="9"/>
      <c r="BM3" s="12"/>
      <c r="BN3" s="13" t="s">
        <v>16</v>
      </c>
      <c r="BO3" s="13" t="s">
        <v>17</v>
      </c>
      <c r="BP3" s="13" t="s">
        <v>18</v>
      </c>
      <c r="BQ3" s="13" t="s">
        <v>19</v>
      </c>
      <c r="BR3" s="13" t="s">
        <v>20</v>
      </c>
      <c r="BS3" s="13" t="s">
        <v>21</v>
      </c>
      <c r="BT3" s="13" t="s">
        <v>22</v>
      </c>
      <c r="BU3" s="13" t="s">
        <v>23</v>
      </c>
      <c r="BV3" s="13" t="s">
        <v>24</v>
      </c>
      <c r="BW3" s="13">
        <f>IF(SUM(BW4:BW98)=0,0,SUM(BW4:BW98)+[1]Data!B11)</f>
        <v>0</v>
      </c>
      <c r="BX3" s="13">
        <f t="shared" ref="BX3:CC3" si="0">SUM(BX4:BX98)</f>
        <v>0</v>
      </c>
      <c r="BY3" s="13">
        <f t="shared" si="0"/>
        <v>0</v>
      </c>
      <c r="BZ3" s="13">
        <f t="shared" si="0"/>
        <v>0</v>
      </c>
      <c r="CA3" s="13">
        <f t="shared" si="0"/>
        <v>0</v>
      </c>
      <c r="CB3" s="13">
        <f t="shared" si="0"/>
        <v>0</v>
      </c>
      <c r="CC3" s="13">
        <f t="shared" si="0"/>
        <v>0</v>
      </c>
      <c r="CD3" s="13"/>
    </row>
    <row r="4" spans="1:83" s="24" customFormat="1" ht="19.5" customHeight="1">
      <c r="A4" s="14"/>
      <c r="B4" s="20" t="s">
        <v>25</v>
      </c>
      <c r="C4" s="21" t="str">
        <f>[1]Customer!B1</f>
        <v>Kj</v>
      </c>
      <c r="D4" s="21"/>
      <c r="E4" s="21"/>
      <c r="F4" s="3"/>
      <c r="G4" s="22"/>
      <c r="H4" s="23" t="str">
        <f>[1]Data!B5</f>
        <v>MF1</v>
      </c>
      <c r="AF4" s="25" t="s">
        <v>14</v>
      </c>
      <c r="AG4" s="26" t="str">
        <f>IF(AF12&gt;19999,"1/3 1/3 1/3","Net 30")</f>
        <v>1/3 1/3 1/3</v>
      </c>
      <c r="AH4" s="9"/>
      <c r="AI4" s="10" t="str">
        <f>IF(OR($B$13=80,$B$13=100),0.75,"")</f>
        <v/>
      </c>
      <c r="AJ4" s="27">
        <v>80</v>
      </c>
      <c r="AK4" s="27">
        <v>100</v>
      </c>
      <c r="AP4" s="12"/>
      <c r="AQ4" s="12"/>
      <c r="AR4" s="12"/>
      <c r="AS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9"/>
      <c r="BL4" s="12"/>
      <c r="BM4" s="12"/>
      <c r="BN4" s="28">
        <v>1.5</v>
      </c>
      <c r="BO4" s="28">
        <v>0.625</v>
      </c>
      <c r="BP4" s="28">
        <v>6.375</v>
      </c>
      <c r="BQ4" s="28">
        <v>6.75</v>
      </c>
      <c r="BR4" s="28">
        <v>1.875</v>
      </c>
      <c r="BS4" s="28">
        <v>6.4349999999999996</v>
      </c>
      <c r="BT4" s="28">
        <v>4.875</v>
      </c>
      <c r="BU4" s="28">
        <v>1.375</v>
      </c>
      <c r="BV4" s="28">
        <v>1.9370000000000001</v>
      </c>
      <c r="BW4" s="28" t="str">
        <f>IF([1]Data!$B$3="h",IF(AND([1]Data!$B$4=$BN4,$BO4=$B$15),IF(OR([1]Data!$B$5="mp1",[1]Data!$B$5="mp3"),BP4+$B$18,""),""),"")</f>
        <v/>
      </c>
      <c r="BX4" s="28" t="str">
        <f>IF([1]Data!$B$3="h",IF(AND([1]Data!$B$4=$BN4,$BO4=$B$15),IF([1]Data!$B$5="mp2",BQ4+$B$18,""),""),"")</f>
        <v/>
      </c>
      <c r="BY4" s="28" t="str">
        <f>IF([1]Data!$B$3="h",IF(AND([1]Data!$B$4=$BN4,$BO4=$B$15),IF([1]Data!$B$5="mt1",BR4,""),""),"")</f>
        <v/>
      </c>
      <c r="BZ4" s="28" t="str">
        <f>IF([1]Data!$B$3="h",IF(AND([1]Data!$B$4=$BN4,$BO4=$B$15),IF([1]Data!$B$5="mpu3",BS4+$B$18,""),""),"")</f>
        <v/>
      </c>
      <c r="CA4" s="28" t="str">
        <f>IF([1]Data!$B$3="h",IF(AND([1]Data!$B$4=$BN4,$BO4=$B$15),IF([1]Data!$B$5="mt2",BT4+$B$18,""),""),"")</f>
        <v/>
      </c>
      <c r="CB4" s="28" t="str">
        <f>IF([1]Data!$B$3="h",IF(AND([1]Data!$B$4=$BN4,$BO4=$B$15),IF([1]Data!$B$5="ms2",BU4,""),""),"")</f>
        <v/>
      </c>
      <c r="CC4" s="28" t="str">
        <f>IF([1]Data!$B$3="h",IF(AND([1]Data!$B$4=$BN4,$BO4=$B$15),IF([1]Data!$B$5="ms4",BV4,""),""),"")</f>
        <v/>
      </c>
      <c r="CD4" s="28"/>
    </row>
    <row r="5" spans="1:83" s="24" customFormat="1" ht="14.5">
      <c r="A5" s="29"/>
      <c r="B5" s="30" t="s">
        <v>26</v>
      </c>
      <c r="C5" s="31" t="str">
        <f>[1]Customer!D1</f>
        <v>Utica,MS 39175</v>
      </c>
      <c r="D5" s="21"/>
      <c r="E5" s="21"/>
      <c r="F5" s="3" t="s">
        <v>27</v>
      </c>
      <c r="G5" s="32">
        <v>30</v>
      </c>
      <c r="H5" s="28"/>
      <c r="J5" s="33"/>
      <c r="AF5" s="24" t="str">
        <f>IF(AF12&gt;19999,"        Progressive Payment","")</f>
        <v xml:space="preserve">        Progressive Payment</v>
      </c>
      <c r="AG5" s="34"/>
      <c r="AH5" s="9"/>
      <c r="AI5" s="10" t="str">
        <f>IF(OR($B$13=125,$B$13=160),1,"")</f>
        <v/>
      </c>
      <c r="AJ5" s="27">
        <v>125</v>
      </c>
      <c r="AK5" s="27">
        <v>160</v>
      </c>
      <c r="AP5" s="12"/>
      <c r="AQ5" s="12"/>
      <c r="AR5" s="12"/>
      <c r="AS5" s="12"/>
      <c r="AT5" s="12"/>
      <c r="AU5" s="9"/>
      <c r="AV5" s="12"/>
      <c r="AW5" s="12"/>
      <c r="AX5" s="12"/>
      <c r="AY5" s="12"/>
      <c r="AZ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28">
        <v>1.5</v>
      </c>
      <c r="BO5" s="28">
        <v>1</v>
      </c>
      <c r="BP5" s="28">
        <v>6.75</v>
      </c>
      <c r="BQ5" s="28">
        <v>7.13</v>
      </c>
      <c r="BR5" s="28">
        <v>2.25</v>
      </c>
      <c r="BS5" s="28">
        <v>6.81</v>
      </c>
      <c r="BT5" s="28">
        <v>5.25</v>
      </c>
      <c r="BU5" s="28">
        <v>1.75</v>
      </c>
      <c r="BV5" s="28">
        <v>2.3119999999999998</v>
      </c>
      <c r="BW5" s="28" t="str">
        <f>IF([1]Data!$B$3="h",IF(AND([1]Data!$B$4=BN5,BO5=$B$15),IF(OR([1]Data!$B$5="mp1",[1]Data!$B$5="mp3"),BP5+$B$18,""),""),"")</f>
        <v/>
      </c>
      <c r="BX5" s="28" t="str">
        <f>IF([1]Data!$B$3="h",IF(AND([1]Data!$B$4=$BN5,$BO5=$B$15),IF([1]Data!$B$5="mp2",BQ5+$B$18,""),""),"")</f>
        <v/>
      </c>
      <c r="BY5" s="28" t="str">
        <f>IF([1]Data!$B$3="h",IF(AND([1]Data!$B$4=$BN5,$BO5=$B$15),IF([1]Data!$B$5="mt1",BR5,""),""),"")</f>
        <v/>
      </c>
      <c r="BZ5" s="28" t="str">
        <f>IF([1]Data!$B$3="h",IF(AND([1]Data!$B$4=$BN5,$BO5=$B$15),IF([1]Data!$B$5="mpu3",BS5+$B$18,""),""),"")</f>
        <v/>
      </c>
      <c r="CA5" s="28" t="str">
        <f>IF([1]Data!$B$3="h",IF(AND([1]Data!$B$4=$BN5,$BO5=$B$15),IF([1]Data!$B$5="mt2",BT5+$B$18,""),""),"")</f>
        <v/>
      </c>
      <c r="CB5" s="28" t="str">
        <f>IF([1]Data!$B$3="h",IF(AND([1]Data!$B$4=$BN5,$BO5=$B$15),IF([1]Data!$B$5="ms2",BU5,""),""),"")</f>
        <v/>
      </c>
      <c r="CC5" s="28" t="str">
        <f>IF([1]Data!$B$3="h",IF(AND([1]Data!$B$4=$BN5,$BO5=$B$15),IF([1]Data!$B$5="ms4",BV5,""),""),"")</f>
        <v/>
      </c>
      <c r="CD5" s="28"/>
    </row>
    <row r="6" spans="1:83" s="24" customFormat="1" ht="16.5" customHeight="1">
      <c r="A6" s="35"/>
      <c r="B6" s="30" t="s">
        <v>28</v>
      </c>
      <c r="C6" s="36">
        <f>[1]Customer!E1</f>
        <v>0</v>
      </c>
      <c r="D6" s="36"/>
      <c r="E6" s="36"/>
      <c r="F6" s="3" t="s">
        <v>29</v>
      </c>
      <c r="G6" s="37" t="s">
        <v>30</v>
      </c>
      <c r="H6" s="28"/>
      <c r="AH6" s="9"/>
      <c r="AI6" s="10" t="str">
        <f>IF($B$13=200,1.25,"")</f>
        <v/>
      </c>
      <c r="AJ6" s="27">
        <v>200</v>
      </c>
      <c r="AK6" s="27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28">
        <v>2</v>
      </c>
      <c r="BO6" s="28">
        <v>1</v>
      </c>
      <c r="BP6" s="28">
        <v>7.25</v>
      </c>
      <c r="BQ6" s="28">
        <v>7.88</v>
      </c>
      <c r="BR6" s="28">
        <v>2.25</v>
      </c>
      <c r="BS6" s="28">
        <v>7.19</v>
      </c>
      <c r="BT6" s="28">
        <v>5.25</v>
      </c>
      <c r="BU6" s="28">
        <v>1.875</v>
      </c>
      <c r="BV6" s="28">
        <v>2.3119999999999998</v>
      </c>
      <c r="BW6" s="28" t="str">
        <f>IF([1]Data!$B$3="h",IF(AND([1]Data!$B$4=BN6,BO6=$B$15),IF(OR([1]Data!$B$5="mp1",[1]Data!$B$5="mp3"),BP6+$B$18,""),""),"")</f>
        <v/>
      </c>
      <c r="BX6" s="28" t="str">
        <f>IF([1]Data!$B$3="h",IF(AND([1]Data!$B$4=$BN6,$BO6=$B$15),IF([1]Data!$B$5="mp2",BQ6+$B$18,""),""),"")</f>
        <v/>
      </c>
      <c r="BY6" s="28" t="str">
        <f>IF([1]Data!$B$3="h",IF(AND([1]Data!$B$4=$BN6,$BO6=$B$15),IF([1]Data!$B$5="mt1",BR6,""),""),"")</f>
        <v/>
      </c>
      <c r="BZ6" s="28" t="str">
        <f>IF([1]Data!$B$3="h",IF(AND([1]Data!$B$4=$BN6,$BO6=$B$15),IF([1]Data!$B$5="mpu3",BS6+$B$18,""),""),"")</f>
        <v/>
      </c>
      <c r="CA6" s="28" t="str">
        <f>IF([1]Data!$B$3="h",IF(AND([1]Data!$B$4=$BN6,$BO6=$B$15),IF([1]Data!$B$5="mt2",BT6+$B$18,""),""),"")</f>
        <v/>
      </c>
      <c r="CB6" s="28" t="str">
        <f>IF([1]Data!$B$3="h",IF(AND([1]Data!$B$4=$BN6,$BO6=$B$15),IF([1]Data!$B$5="ms2",BU6,""),""),"")</f>
        <v/>
      </c>
      <c r="CC6" s="28" t="str">
        <f>IF([1]Data!$B$3="h",IF(AND([1]Data!$B$4=$BN6,$BO6=$B$15),IF([1]Data!$B$5="ms4",BV6,""),""),"")</f>
        <v/>
      </c>
      <c r="CD6" s="28"/>
    </row>
    <row r="7" spans="1:83" s="24" customFormat="1" ht="16.5" customHeight="1">
      <c r="A7" s="38"/>
      <c r="B7" s="30" t="s">
        <v>31</v>
      </c>
      <c r="C7" s="39"/>
      <c r="D7" s="39"/>
      <c r="E7" s="39"/>
      <c r="F7" s="3" t="s">
        <v>32</v>
      </c>
      <c r="G7" s="18" t="s">
        <v>33</v>
      </c>
      <c r="H7" s="28"/>
      <c r="AH7" s="12"/>
      <c r="AI7" s="10">
        <f>SUM(AI1:AI6)</f>
        <v>0</v>
      </c>
      <c r="AJ7" s="27"/>
      <c r="AK7" s="27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28">
        <v>2</v>
      </c>
      <c r="BO7" s="28">
        <v>1.375</v>
      </c>
      <c r="BP7" s="28">
        <v>7.5</v>
      </c>
      <c r="BQ7" s="28">
        <v>8.1300000000000008</v>
      </c>
      <c r="BR7" s="28">
        <v>2.5</v>
      </c>
      <c r="BS7" s="28">
        <v>7.44</v>
      </c>
      <c r="BT7" s="28">
        <v>5.5</v>
      </c>
      <c r="BU7" s="28">
        <v>2.125</v>
      </c>
      <c r="BV7" s="28">
        <v>2.5619999999999998</v>
      </c>
      <c r="BW7" s="28" t="str">
        <f>IF([1]Data!$B$3="h",IF(AND([1]Data!$B$4=BN7,BO7=$B$15),IF(OR([1]Data!$B$5="mp1",[1]Data!$B$5="mp3"),BP7+$B$18,""),""),"")</f>
        <v/>
      </c>
      <c r="BX7" s="28" t="str">
        <f>IF([1]Data!$B$3="h",IF(AND([1]Data!$B$4=$BN7,$BO7=$B$15),IF([1]Data!$B$5="mp2",BQ7+$B$18,""),""),"")</f>
        <v/>
      </c>
      <c r="BY7" s="28" t="str">
        <f>IF([1]Data!$B$3="h",IF(AND([1]Data!$B$4=$BN7,$BO7=$B$15),IF([1]Data!$B$5="mt1",BR7,""),""),"")</f>
        <v/>
      </c>
      <c r="BZ7" s="28" t="str">
        <f>IF([1]Data!$B$3="h",IF(AND([1]Data!$B$4=$BN7,$BO7=$B$15),IF([1]Data!$B$5="mpu3",BS7+$B$18,""),""),"")</f>
        <v/>
      </c>
      <c r="CA7" s="28" t="str">
        <f>IF([1]Data!$B$3="h",IF(AND([1]Data!$B$4=$BN7,$BO7=$B$15),IF([1]Data!$B$5="mt2",BT7+$B$18,""),""),"")</f>
        <v/>
      </c>
      <c r="CB7" s="28" t="str">
        <f>IF([1]Data!$B$3="h",IF(AND([1]Data!$B$4=$BN7,$BO7=$B$15),IF([1]Data!$B$5="ms2",BU7,""),""),"")</f>
        <v/>
      </c>
      <c r="CC7" s="28" t="str">
        <f>IF([1]Data!$B$3="h",IF(AND([1]Data!$B$4=$BN7,$BO7=$B$15),IF([1]Data!$B$5="ms4",BV7,""),""),"")</f>
        <v/>
      </c>
      <c r="CD7" s="28"/>
    </row>
    <row r="8" spans="1:83" s="24" customFormat="1" ht="6.75" customHeight="1">
      <c r="A8" s="35"/>
      <c r="B8" s="40"/>
      <c r="C8" s="41"/>
      <c r="D8" s="4"/>
      <c r="E8" s="4"/>
      <c r="F8" s="42"/>
      <c r="G8" s="43"/>
      <c r="H8" s="28"/>
      <c r="AH8" s="12"/>
      <c r="AI8" s="12"/>
      <c r="AJ8" s="12" t="s">
        <v>34</v>
      </c>
      <c r="AK8" s="12" t="s">
        <v>35</v>
      </c>
      <c r="AL8" s="12" t="s">
        <v>36</v>
      </c>
      <c r="AM8" s="12" t="s">
        <v>37</v>
      </c>
      <c r="AN8" s="12"/>
      <c r="AO8" s="12"/>
      <c r="AP8" s="12"/>
      <c r="AQ8" s="12"/>
      <c r="AR8" s="12"/>
      <c r="AS8" s="11"/>
      <c r="AT8" s="12"/>
      <c r="AU8" s="12"/>
      <c r="AV8" s="11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28">
        <v>2.5</v>
      </c>
      <c r="BO8" s="28">
        <v>1</v>
      </c>
      <c r="BP8" s="28">
        <v>7.375</v>
      </c>
      <c r="BQ8" s="28">
        <v>8.0050000000000008</v>
      </c>
      <c r="BR8" s="28">
        <v>2.25</v>
      </c>
      <c r="BS8" s="28">
        <v>7.3150000000000004</v>
      </c>
      <c r="BT8" s="28">
        <v>5.375</v>
      </c>
      <c r="BU8" s="28">
        <v>2.0619999999999998</v>
      </c>
      <c r="BV8" s="28">
        <v>2.3119999999999998</v>
      </c>
      <c r="BW8" s="28" t="str">
        <f>IF([1]Data!$B$3="h",IF(AND([1]Data!$B$4=BN8,BO8=$B$15),IF(OR([1]Data!$B$5="mp1",[1]Data!$B$5="mp3"),BP8+$B$18,""),""),"")</f>
        <v/>
      </c>
      <c r="BX8" s="28" t="str">
        <f>IF([1]Data!$B$3="h",IF(AND([1]Data!$B$4=$BN8,$BO8=$B$15),IF([1]Data!$B$5="mp2",BQ8+$B$18,""),""),"")</f>
        <v/>
      </c>
      <c r="BY8" s="28" t="str">
        <f>IF([1]Data!$B$3="h",IF(AND([1]Data!$B$4=$BN8,$BO8=$B$15),IF([1]Data!$B$5="mt1",BR8,""),""),"")</f>
        <v/>
      </c>
      <c r="BZ8" s="28" t="str">
        <f>IF([1]Data!$B$3="h",IF(AND([1]Data!$B$4=$BN8,$BO8=$B$15),IF([1]Data!$B$5="mpu3",BS8+$B$18,""),""),"")</f>
        <v/>
      </c>
      <c r="CA8" s="28" t="str">
        <f>IF([1]Data!$B$3="h",IF(AND([1]Data!$B$4=$BN8,$BO8=$B$15),IF([1]Data!$B$5="mt2",BT8+$B$18,""),""),"")</f>
        <v/>
      </c>
      <c r="CB8" s="28" t="str">
        <f>IF([1]Data!$B$3="h",IF(AND([1]Data!$B$4=$BN8,$BO8=$B$15),IF([1]Data!$B$5="ms2",BU8,""),""),"")</f>
        <v/>
      </c>
      <c r="CC8" s="28" t="str">
        <f>IF([1]Data!$B$3="h",IF(AND([1]Data!$B$4=$BN8,$BO8=$B$15),IF([1]Data!$B$5="ms4",BV8,""),""),"")</f>
        <v/>
      </c>
      <c r="CD8" s="28"/>
    </row>
    <row r="9" spans="1:83" ht="2.25" customHeight="1" thickBot="1">
      <c r="A9" s="44"/>
      <c r="B9" s="1"/>
      <c r="C9" s="44"/>
      <c r="D9" s="45"/>
      <c r="E9" s="45"/>
      <c r="F9" s="45"/>
      <c r="G9" s="46"/>
      <c r="AQ9" s="12" t="str">
        <f t="shared" ref="AQ9:BL9" si="1">IF(AQ10="","",CONCATENATE(AQ11," = ",AQ10,""""))</f>
        <v/>
      </c>
      <c r="AR9" s="12" t="str">
        <f t="shared" si="1"/>
        <v/>
      </c>
      <c r="AS9" s="12" t="str">
        <f t="shared" si="1"/>
        <v/>
      </c>
      <c r="AT9" s="12" t="str">
        <f t="shared" si="1"/>
        <v/>
      </c>
      <c r="AU9" s="12" t="str">
        <f t="shared" si="1"/>
        <v/>
      </c>
      <c r="AV9" s="12" t="str">
        <f t="shared" si="1"/>
        <v/>
      </c>
      <c r="AW9" s="12" t="str">
        <f t="shared" si="1"/>
        <v/>
      </c>
      <c r="AX9" s="12" t="str">
        <f t="shared" si="1"/>
        <v/>
      </c>
      <c r="AY9" s="12" t="str">
        <f t="shared" si="1"/>
        <v>F = 0.88"</v>
      </c>
      <c r="AZ9" s="12" t="str">
        <f t="shared" si="1"/>
        <v/>
      </c>
      <c r="BA9" s="12" t="str">
        <f t="shared" si="1"/>
        <v/>
      </c>
      <c r="BB9" s="12" t="str">
        <f t="shared" si="1"/>
        <v>R = 4.95"</v>
      </c>
      <c r="BC9" s="12" t="str">
        <f t="shared" si="1"/>
        <v/>
      </c>
      <c r="BD9" s="12" t="str">
        <f t="shared" si="1"/>
        <v/>
      </c>
      <c r="BE9" s="12" t="str">
        <f t="shared" si="1"/>
        <v/>
      </c>
      <c r="BF9" s="12" t="str">
        <f t="shared" si="1"/>
        <v/>
      </c>
      <c r="BG9" s="12" t="str">
        <f t="shared" si="1"/>
        <v/>
      </c>
      <c r="BH9" s="12" t="str">
        <f t="shared" si="1"/>
        <v/>
      </c>
      <c r="BI9" s="12" t="str">
        <f t="shared" si="1"/>
        <v/>
      </c>
      <c r="BJ9" s="12" t="str">
        <f t="shared" si="1"/>
        <v/>
      </c>
      <c r="BK9" s="12" t="str">
        <f t="shared" si="1"/>
        <v>FB = 0.94"</v>
      </c>
      <c r="BL9" s="12" t="str">
        <f t="shared" si="1"/>
        <v>TF = 8.19"</v>
      </c>
      <c r="BN9" s="5">
        <v>2.5</v>
      </c>
      <c r="BO9" s="5">
        <v>1.375</v>
      </c>
      <c r="BP9" s="5">
        <v>7.625</v>
      </c>
      <c r="BQ9" s="5">
        <v>8.2550000000000008</v>
      </c>
      <c r="BR9" s="5">
        <v>2.5</v>
      </c>
      <c r="BS9" s="5">
        <v>7.5650000000000004</v>
      </c>
      <c r="BT9" s="5">
        <v>5.625</v>
      </c>
      <c r="BU9" s="5">
        <v>2.3119999999999998</v>
      </c>
      <c r="BV9" s="5">
        <v>2.5619999999999998</v>
      </c>
      <c r="BW9" s="5" t="str">
        <f>IF([1]Data!$B$3="h",IF(AND([1]Data!$B$4=BN9,BO9=$B$15),IF(OR([1]Data!$B$5="mp1",[1]Data!$B$5="mp3"),BP9+$B$18,""),""),"")</f>
        <v/>
      </c>
      <c r="BX9" s="5" t="str">
        <f>IF([1]Data!$B$3="h",IF(AND([1]Data!$B$4=$BN9,$BO9=$B$15),IF([1]Data!$B$5="mp2",BQ9+$B$18,""),""),"")</f>
        <v/>
      </c>
      <c r="BY9" s="5" t="str">
        <f>IF([1]Data!$B$3="h",IF(AND([1]Data!$B$4=$BN9,$BO9=$B$15),IF([1]Data!$B$5="mt1",BR9,""),""),"")</f>
        <v/>
      </c>
      <c r="BZ9" s="5" t="str">
        <f>IF([1]Data!$B$3="h",IF(AND([1]Data!$B$4=$BN9,$BO9=$B$15),IF([1]Data!$B$5="mpu3",BS9+$B$18,""),""),"")</f>
        <v/>
      </c>
      <c r="CA9" s="5" t="str">
        <f>IF([1]Data!$B$3="h",IF(AND([1]Data!$B$4=$BN9,$BO9=$B$15),IF([1]Data!$B$5="mt2",BT9+$B$18,""),""),"")</f>
        <v/>
      </c>
      <c r="CB9" s="28" t="str">
        <f>IF([1]Data!$B$3="h",IF(AND([1]Data!$B$4=$BN9,$BO9=$B$15),IF([1]Data!$B$5="ms2",BU9,""),""),"")</f>
        <v/>
      </c>
      <c r="CC9" s="5" t="str">
        <f>IF([1]Data!$B$3="h",IF(AND([1]Data!$B$4=$BN9,$BO9=$B$15),IF([1]Data!$B$5="ms4",BV9,""),""),"")</f>
        <v/>
      </c>
    </row>
    <row r="10" spans="1:83" s="24" customFormat="1" ht="15.5" thickTop="1" thickBot="1">
      <c r="A10" s="47" t="s">
        <v>38</v>
      </c>
      <c r="B10" s="48"/>
      <c r="C10" s="49" t="s">
        <v>39</v>
      </c>
      <c r="D10" s="49" t="s">
        <v>40</v>
      </c>
      <c r="E10" s="49" t="s">
        <v>41</v>
      </c>
      <c r="F10" s="48" t="s">
        <v>42</v>
      </c>
      <c r="G10" s="50"/>
      <c r="H10" s="51" t="s">
        <v>43</v>
      </c>
      <c r="I10" s="51" t="s">
        <v>44</v>
      </c>
      <c r="J10" s="51" t="s">
        <v>45</v>
      </c>
      <c r="K10" s="51"/>
      <c r="L10" s="51"/>
      <c r="Q10" s="12" t="s">
        <v>17</v>
      </c>
      <c r="R10" s="12" t="s">
        <v>46</v>
      </c>
      <c r="S10" s="12" t="s">
        <v>47</v>
      </c>
      <c r="AA10" s="52" t="s">
        <v>38</v>
      </c>
      <c r="AB10" s="52"/>
      <c r="AC10" s="53" t="s">
        <v>39</v>
      </c>
      <c r="AD10" s="53" t="s">
        <v>40</v>
      </c>
      <c r="AE10" s="53" t="s">
        <v>41</v>
      </c>
      <c r="AF10" s="52" t="str">
        <f>IF(AH12&lt;0.2,"Special Approval","Price Each: (Net)")</f>
        <v>Special Approval</v>
      </c>
      <c r="AG10" s="52"/>
      <c r="AH10" s="54" t="str">
        <f>IF([1]Data!D2="F",CONCATENATE(AI10,""""," Flange"),IF([1]Data!D2="N",CONCATENATE(AI10," ","NPT"),IF([1]Data!D2="M",CONCATENATE(AI10,"G",AI7),(CONCATENATE("#",AI10," SAE")))))</f>
        <v>#12 SAE</v>
      </c>
      <c r="AI10" s="55">
        <f>IF(SUM(AI11:AI40)&lt;0.1,"",SUM(AI11:AI40))</f>
        <v>12</v>
      </c>
      <c r="AJ10" s="11" t="s">
        <v>48</v>
      </c>
      <c r="AK10" s="11"/>
      <c r="AL10" s="12" t="s">
        <v>49</v>
      </c>
      <c r="AM10" s="12"/>
      <c r="AN10" s="12"/>
      <c r="AO10" s="12"/>
      <c r="AP10" s="12"/>
      <c r="AQ10" s="12" t="str">
        <f>IF(OR([1]Data!$B$5="MP1",[1]Data!$B$5="MP3"),IF([1]Data!$B$3="h",VLOOKUP($B$13,$AJ$12:AQ26,8,FALSE),IF(OR([1]Data!$B$3="a",[1]Data!$B$3="lh"),VLOOKUP($B$13,$AJ29:AQ40,8,FALSE),"")),"")</f>
        <v/>
      </c>
      <c r="AR10" s="12" t="str">
        <f>IF(OR([1]Data!$B$5="MP1",[1]Data!$B$5="MP3",[1]Data!$B$5="MPu3"),IF([1]Data!$B$3="h",VLOOKUP($B$13,$AJ$12:AR26,9,FALSE),IF(OR([1]Data!$B$3="a",[1]Data!$B$3="lh"),VLOOKUP($B$13,$AJ29:AR40,9,FALSE),"")),"")</f>
        <v/>
      </c>
      <c r="AS10" s="12" t="str">
        <f>IF(OR([1]Data!$B$5="MP1",[1]Data!$B$5="MP3"),IF([1]Data!$B$3="h",VLOOKUP($B$13,$AJ$12:AS26,10,FALSE),IF(OR([1]Data!$B$3="a",[1]Data!$B$3="lh"),VLOOKUP($B$13,$AJ29:AS40,10,FALSE),"")),"")</f>
        <v/>
      </c>
      <c r="AT10" s="12" t="str">
        <f>IF([1]Data!$B$5="Mt4",IF([1]Data!$B$3="h",VLOOKUP($B$13,$AJ$12:AT26,11),IF(OR([1]Data!$B$3="a",[1]Data!$B$3="lh"),VLOOKUP($B$13,$AJ29:AT40,11),"")),"")</f>
        <v/>
      </c>
      <c r="AU10" s="12" t="str">
        <f>IF([1]Data!$B$5="Mt4",IF([1]Data!$B$3="h",VLOOKUP($B$13,$AJ$12:AU26,12),IF(OR([1]Data!$B$3="a",[1]Data!$B$3="lh"),VLOOKUP($B$13,$AJ29:AU40,12),"")),"")</f>
        <v/>
      </c>
      <c r="AV10" s="12" t="str">
        <f>IF(OR([1]Data!$B$5="Mt1",[1]Data!$B$5="Mt2"),IF([1]Data!$B$3="h",VLOOKUP($B$13,$AJ$12:AV26,13),IF(OR([1]Data!$B$3="a",[1]Data!$B$3="lh"),VLOOKUP($B$13,$AJ29:AV40,13),"")),"")</f>
        <v/>
      </c>
      <c r="AW10" s="12" t="str">
        <f>IF(OR([1]Data!$B$5="Mt1",[1]Data!$B$5="Mt2",[1]Data!$B$5="Mt4"),IF([1]Data!$B$3="h",VLOOKUP($B$13,$AJ$12:AW26,14),IF(OR([1]Data!$B$3="a",[1]Data!$B$3="lh"),VLOOKUP($B$13,$AJ29:AW40,14),"")),"")</f>
        <v/>
      </c>
      <c r="AX10" s="12" t="str">
        <f>IF(OR([1]Data!$B$5="Mt1",[1]Data!$B$5="Mt2",[1]Data!$B$5="Mt4"),IF([1]Data!$B$3="h",VLOOKUP($B$13,$AJ$12:AX26,15),IF(OR([1]Data!$B$3="a",[1]Data!$B$3="lh"),VLOOKUP($B$13,$AJ29:AX40,15),"")),"")</f>
        <v/>
      </c>
      <c r="AY10" s="12">
        <f>IF(OR([1]Data!$B$5="mx1",[1]Data!$B$5="Mx2",[1]Data!$B$5="Mx3",[1]Data!$B$5="mf1",[1]Data!$B$5="Mf2",[1]Data!$B$5="Mf5",[1]Data!$B$5="Mf6"),IF([1]Data!$B$3="h",VLOOKUP($B$13,$AJ$12:AY26,16),IF(OR([1]Data!$B$3="a",[1]Data!$B$3="lh"),VLOOKUP($B$13,$AJ29:AY40,16),"")),"")</f>
        <v>0.88</v>
      </c>
      <c r="AZ10" s="12" t="str">
        <f>IF(OR([1]Data!$B$5="mx1",[1]Data!$B$5="Mx2",[1]Data!$B$5="Mx3"),IF([1]Data!$B$3="h",VLOOKUP($B$13,$AJ$12:AZ26,17),IF(OR([1]Data!$B$3="a",[1]Data!$B$3="lh"),VLOOKUP($B$13,$AJ29:AZ40,17),"")),"")</f>
        <v/>
      </c>
      <c r="BA10" s="12" t="str">
        <f>IF(OR([1]Data!$B$5="mx1",[1]Data!$B$5="Mx2",[1]Data!$B$5="Mx3"),IF([1]Data!$B$3="h",VLOOKUP($B$13,$AJ$12:BA26,18),IF(OR([1]Data!$B$3="a",[1]Data!$B$3="lh"),VLOOKUP($B$13,$AJ29:BA40,18),"")),"")</f>
        <v/>
      </c>
      <c r="BB10" s="12">
        <f>IF(OR([1]Data!$B$5="mx1",[1]Data!$B$5="Mx2",[1]Data!$B$5="Mx3",[1]Data!$B$5="Me5",[1]Data!$B$5="Me6",[1]Data!$B$5="mf1",[1]Data!$B$5="Mf2",[1]Data!$B$5="Mf5",[1]Data!$B$5="Mf6"),IF([1]Data!$B$3="h",VLOOKUP($B$13,$AJ$12:BB26,19),IF(OR([1]Data!$B$3="a",[1]Data!$B$3="lh"),VLOOKUP($B$13,$AJ29:BB40,19),"")),"")</f>
        <v>4.95</v>
      </c>
      <c r="BC10" s="56" t="str">
        <f>IF([1]Data!$B$5="Mpu3",IF([1]Data!$B$3="h",VLOOKUP($B$13,$AJ$12:BC26,20),IF(OR([1]Data!$B$3="a",[1]Data!$B$3="lh"),VLOOKUP($B$13,$AJ29:BC40,20),"")),"")</f>
        <v/>
      </c>
      <c r="BD10" s="56" t="str">
        <f>IF([1]Data!$B$5="Mpu3",IF([1]Data!$B$3="h",VLOOKUP($B$13,$AJ$12:BD26,21),IF(OR([1]Data!$B$3="a",[1]Data!$B$3="lh"),VLOOKUP($B$13,$AJ29:BD40,21),"")),"")</f>
        <v/>
      </c>
      <c r="BE10" s="12" t="str">
        <f>IF([1]Data!$B$5="Ms2",IF([1]Data!$B$3="h",VLOOKUP($B$13,$AJ$12:BE26,22),IF(OR([1]Data!$B$3="a",[1]Data!$B$3="lh"),VLOOKUP($B$13,$AJ29:BE40,22),"")),"")</f>
        <v/>
      </c>
      <c r="BF10" s="12" t="str">
        <f>IF([1]Data!$B$5="Ms2",IF([1]Data!$B$3="h",VLOOKUP($B$13,$AJ$12:BF26,23),IF(OR([1]Data!$B$3="a",[1]Data!$B$3="lh"),VLOOKUP($B$13,$AJ29:BF40,23),"")),"")</f>
        <v/>
      </c>
      <c r="BG10" s="12" t="str">
        <f>IF([1]Data!$B$5="Ms2",IF([1]Data!$B$3="h",VLOOKUP($B$13,$AJ$12:BG26,24)+B18,IF(OR([1]Data!$B$3="a",[1]Data!$B$3="lh"),VLOOKUP($B$13,$AJ29:BG40,24)+B18,"")),"")</f>
        <v/>
      </c>
      <c r="BH10" s="12" t="str">
        <f>IF([1]Data!$B$5="Ms4",IF([1]Data!$B$3="h",VLOOKUP($B$13,$AJ$12:BH26,25),IF(OR([1]Data!$B$3="a",[1]Data!$B$3="lh"),VLOOKUP($B$13,$AJ29:BH40,25),"")),"")</f>
        <v/>
      </c>
      <c r="BI10" s="12" t="str">
        <f>IF([1]Data!$B$5="Ms4",IF([1]Data!$B$3="h",VLOOKUP($B$13,$AJ$12:BI26,26),IF(OR([1]Data!$B$3="a",[1]Data!$B$3="lh"),VLOOKUP($B$13,$AJ29:BI40,26),"")),"")</f>
        <v/>
      </c>
      <c r="BJ10" s="12" t="str">
        <f>IF([1]Data!$B$5="Ms4",IF([1]Data!$B$3="h",VLOOKUP($B$13,$AJ$12:BJ26,27)+B18,IF(OR([1]Data!$B$3="a",[1]Data!$B$3="lh"),VLOOKUP($B$13,$AJ29:BJ40,27)+B18,"")),"")</f>
        <v/>
      </c>
      <c r="BK10" s="12">
        <f>IF(OR([1]Data!$B$5="mf1",[1]Data!$B$5="Mf2",[1]Data!$B$5="Me5",[1]Data!$B$5="Me6",[1]Data!$B$5="Mf5",[1]Data!$B$5="Mf6"),IF([1]Data!$B$3="h",VLOOKUP($B$13,$AJ$12:BK26,28),IF(OR([1]Data!$B$3="a",[1]Data!$B$3="lh"),VLOOKUP($B$13,$AJ29:BK40,28),"")),"")</f>
        <v>0.94</v>
      </c>
      <c r="BL10" s="12">
        <f>IF(OR([1]Data!$B$5="mf1",[1]Data!$B$5="Mf2",[1]Data!$B$5="Me5",[1]Data!$B$5="Me6",[1]Data!$B$5="Mf5",[1]Data!$B$5="Mf6"),IF([1]Data!$B$3="h",VLOOKUP($B$13,$AJ$12:BL26,29),IF(OR([1]Data!$B$3="a",[1]Data!$B$3="lh"),VLOOKUP($B$13,$AJ29:BL40,29),"")),"")</f>
        <v>8.19</v>
      </c>
      <c r="BM10" s="12"/>
      <c r="BN10" s="28">
        <v>2.5</v>
      </c>
      <c r="BO10" s="28">
        <v>1.75</v>
      </c>
      <c r="BP10" s="28">
        <v>7.875</v>
      </c>
      <c r="BQ10" s="28">
        <v>8.5050000000000008</v>
      </c>
      <c r="BR10" s="28">
        <v>2.75</v>
      </c>
      <c r="BS10" s="28">
        <v>7.8150000000000004</v>
      </c>
      <c r="BT10" s="28">
        <v>5.875</v>
      </c>
      <c r="BU10" s="28">
        <v>2.5619999999999998</v>
      </c>
      <c r="BV10" s="28">
        <v>2.8130000000000002</v>
      </c>
      <c r="BW10" s="28" t="str">
        <f>IF([1]Data!$B$3="h",IF(AND([1]Data!$B$4=BN10,BO10=$B$15),IF(OR([1]Data!$B$5="mp1",[1]Data!$B$5="mp3"),BP10+$B$18,""),""),"")</f>
        <v/>
      </c>
      <c r="BX10" s="28" t="str">
        <f>IF([1]Data!$B$3="h",IF(AND([1]Data!$B$4=$BN10,$BO10=$B$15),IF([1]Data!$B$5="mp2",BQ10+$B$18,""),""),"")</f>
        <v/>
      </c>
      <c r="BY10" s="28" t="str">
        <f>IF([1]Data!$B$3="h",IF(AND([1]Data!$B$4=$BN10,$BO10=$B$15),IF([1]Data!$B$5="mt1",BR10,""),""),"")</f>
        <v/>
      </c>
      <c r="BZ10" s="28" t="str">
        <f>IF([1]Data!$B$3="h",IF(AND([1]Data!$B$4=$BN10,$BO10=$B$15),IF([1]Data!$B$5="mpu3",BS10+$B$18,""),""),"")</f>
        <v/>
      </c>
      <c r="CA10" s="28" t="str">
        <f>IF([1]Data!$B$3="h",IF(AND([1]Data!$B$4=$BN10,$BO10=$B$15),IF([1]Data!$B$5="mt2",BT10+$B$18,""),""),"")</f>
        <v/>
      </c>
      <c r="CB10" s="28" t="str">
        <f>IF([1]Data!$B$3="h",IF(AND([1]Data!$B$4=$BN10,$BO10=$B$15),IF([1]Data!$B$5="ms2",BU10,""),""),"")</f>
        <v/>
      </c>
      <c r="CC10" s="28" t="str">
        <f>IF([1]Data!$B$3="h",IF(AND([1]Data!$B$4=$BN10,$BO10=$B$15),IF([1]Data!$B$5="ms4",BV10,""),""),"")</f>
        <v/>
      </c>
      <c r="CD10" s="28"/>
    </row>
    <row r="11" spans="1:83" s="24" customFormat="1" ht="16.5" thickTop="1">
      <c r="A11" s="57" t="s">
        <v>50</v>
      </c>
      <c r="B11" s="58" t="str">
        <f>IF([1]Data!I1="","Parts Order",[1]Data!I1)</f>
        <v>High Pressure Hydraulic Cylinder</v>
      </c>
      <c r="C11" s="59">
        <f>IF([1]Data!B2="",1,[1]Data!B2)</f>
        <v>1</v>
      </c>
      <c r="D11" s="60">
        <f>IF([1]Data!B3="W",[1]Data!I13*0.85,[1]Data!I13)</f>
        <v>2218</v>
      </c>
      <c r="E11" s="61">
        <f>[1]Data!D4</f>
        <v>0</v>
      </c>
      <c r="F11" s="62" t="str">
        <f>CONCATENATE("$", TEXT([1]Data!D6, "#,##0"), " - ", G5, " Days")</f>
        <v>$2,218 - 30 Days</v>
      </c>
      <c r="G11" s="63"/>
      <c r="H11" s="64">
        <f>ROUNDUP([1]Data!D6-J11-I11,0)</f>
        <v>998</v>
      </c>
      <c r="I11" s="64">
        <f>IF([1]Data!D6&lt;1000,[1]Data!D6*0.4,[1]Data!D6*0.27)</f>
        <v>598.86</v>
      </c>
      <c r="J11" s="64">
        <f>ROUNDUP([1]Inventory!E1,0)</f>
        <v>622</v>
      </c>
      <c r="K11" s="64"/>
      <c r="L11" s="64"/>
      <c r="Q11" s="12">
        <v>0.625</v>
      </c>
      <c r="R11" s="12">
        <v>0.75</v>
      </c>
      <c r="S11" s="12">
        <v>1</v>
      </c>
      <c r="AA11" s="65" t="s">
        <v>50</v>
      </c>
      <c r="AB11" s="66" t="str">
        <f>IF([1]Data!AI1="","Parts Order",[1]Data!AI1)</f>
        <v>Parts Order</v>
      </c>
      <c r="AC11" s="67">
        <f>IF([1]Data!AB2="",1,[1]Data!AB2)</f>
        <v>1</v>
      </c>
      <c r="AD11" s="68">
        <f>IF([1]Data!AB3="W",[1]Data!AI13*0.85,[1]Data!AI13)</f>
        <v>0</v>
      </c>
      <c r="AE11" s="69">
        <f>[1]Data!AD4</f>
        <v>0</v>
      </c>
      <c r="AF11" s="70" t="str">
        <f>CONCATENATE("$", TEXT([1]Data!AD6, "#,##0"), " - ", AG5, " Days")</f>
        <v>$0 -  Days</v>
      </c>
      <c r="AG11" s="70"/>
      <c r="AH11" s="12"/>
      <c r="AI11" s="12"/>
      <c r="AJ11" s="11" t="s">
        <v>16</v>
      </c>
      <c r="AK11" s="11" t="s">
        <v>51</v>
      </c>
      <c r="AL11" s="12" t="s">
        <v>52</v>
      </c>
      <c r="AM11" s="12" t="s">
        <v>53</v>
      </c>
      <c r="AN11" s="12" t="s">
        <v>54</v>
      </c>
      <c r="AO11" s="12" t="s">
        <v>55</v>
      </c>
      <c r="AP11" s="12" t="s">
        <v>56</v>
      </c>
      <c r="AQ11" s="12" t="s">
        <v>57</v>
      </c>
      <c r="AR11" s="12" t="s">
        <v>58</v>
      </c>
      <c r="AS11" s="12" t="s">
        <v>59</v>
      </c>
      <c r="AT11" s="12" t="s">
        <v>60</v>
      </c>
      <c r="AU11" s="12" t="s">
        <v>61</v>
      </c>
      <c r="AV11" s="12" t="s">
        <v>62</v>
      </c>
      <c r="AW11" s="12" t="s">
        <v>63</v>
      </c>
      <c r="AX11" s="12" t="s">
        <v>64</v>
      </c>
      <c r="AY11" s="10" t="s">
        <v>49</v>
      </c>
      <c r="AZ11" s="10" t="s">
        <v>65</v>
      </c>
      <c r="BA11" s="10" t="s">
        <v>66</v>
      </c>
      <c r="BB11" s="10" t="s">
        <v>67</v>
      </c>
      <c r="BC11" s="12" t="s">
        <v>68</v>
      </c>
      <c r="BD11" s="12" t="s">
        <v>69</v>
      </c>
      <c r="BE11" s="12" t="s">
        <v>70</v>
      </c>
      <c r="BF11" s="12" t="s">
        <v>71</v>
      </c>
      <c r="BG11" s="12" t="s">
        <v>72</v>
      </c>
      <c r="BH11" s="12" t="s">
        <v>73</v>
      </c>
      <c r="BI11" s="12" t="s">
        <v>74</v>
      </c>
      <c r="BJ11" s="12" t="s">
        <v>75</v>
      </c>
      <c r="BK11" s="12" t="s">
        <v>76</v>
      </c>
      <c r="BL11" s="12" t="s">
        <v>77</v>
      </c>
      <c r="BN11" s="28">
        <v>3.25</v>
      </c>
      <c r="BO11" s="28">
        <v>1.375</v>
      </c>
      <c r="BP11" s="28">
        <v>8.625</v>
      </c>
      <c r="BQ11" s="28">
        <v>9.375</v>
      </c>
      <c r="BR11" s="28">
        <v>2.625</v>
      </c>
      <c r="BS11" s="28">
        <v>8.6850000000000005</v>
      </c>
      <c r="BT11" s="28">
        <v>6.25</v>
      </c>
      <c r="BU11" s="28">
        <v>2.3119999999999998</v>
      </c>
      <c r="BV11" s="28">
        <v>2.5619999999999998</v>
      </c>
      <c r="BW11" s="28" t="str">
        <f>IF([1]Data!$B$3="h",IF(AND([1]Data!$B$4=BN11,BO11=$B$15),IF(OR([1]Data!$B$5="mp1",[1]Data!$B$5="mp3"),BP11+$B$18,""),""),"")</f>
        <v/>
      </c>
      <c r="BX11" s="28" t="str">
        <f>IF([1]Data!$B$3="h",IF(AND([1]Data!$B$4=$BN11,$BO11=$B$15),IF([1]Data!$B$5="mp2",BQ11+$B$18,""),""),"")</f>
        <v/>
      </c>
      <c r="BY11" s="28" t="str">
        <f>IF([1]Data!$B$3="h",IF(AND([1]Data!$B$4=$BN11,$BO11=$B$15),IF([1]Data!$B$5="mt1",BR11,""),""),"")</f>
        <v/>
      </c>
      <c r="BZ11" s="28" t="str">
        <f>IF([1]Data!$B$3="h",IF(AND([1]Data!$B$4=$BN11,$BO11=$B$15),IF([1]Data!$B$5="mpu3",BS11+$B$18,""),""),"")</f>
        <v/>
      </c>
      <c r="CA11" s="28" t="str">
        <f>IF([1]Data!$B$3="h",IF(AND([1]Data!$B$4=$BN11,$BO11=$B$15),IF([1]Data!$B$5="mt2",BT11+$B$18,""),""),"")</f>
        <v/>
      </c>
      <c r="CB11" s="28" t="str">
        <f>IF([1]Data!$B$3="h",IF(AND([1]Data!$B$4=$BN11,$BO11=$B$15),IF([1]Data!$B$5="ms2",BU11,""),""),"")</f>
        <v/>
      </c>
      <c r="CC11" s="28" t="str">
        <f>IF([1]Data!$B$3="h",IF(AND([1]Data!$B$4=$BN11,$BO11=$B$15),IF([1]Data!$B$5="ms4",BV11,""),""),"")</f>
        <v/>
      </c>
      <c r="CD11" s="28"/>
    </row>
    <row r="12" spans="1:83" s="24" customFormat="1" ht="16">
      <c r="A12" s="71" t="s">
        <v>78</v>
      </c>
      <c r="B12" s="72" t="str">
        <f>[1]Data!A1</f>
        <v>H-MF1-5x12x2-1-NC-S-P-S</v>
      </c>
      <c r="C12" s="73"/>
      <c r="D12" s="74"/>
      <c r="E12" s="75" t="s">
        <v>79</v>
      </c>
      <c r="F12" s="76" t="str">
        <f>CONCATENATE("$", TEXT(ROUNDUP([1]Data!D6*1.35,0), "#,##0"), "(", G5/2, " Days) $", TEXT(ROUNDUP([1]Data!D6*1.95,0), "#,##0"), "(NOW)")</f>
        <v>$2,995(15 Days) $4,326(NOW)</v>
      </c>
      <c r="G12" s="77"/>
      <c r="H12" s="78">
        <f>ROUNDDOWN(H11/[1]Data!D6,2)</f>
        <v>0.44</v>
      </c>
      <c r="I12" s="51"/>
      <c r="J12" s="51"/>
      <c r="Q12" s="12">
        <v>1</v>
      </c>
      <c r="R12" s="12">
        <v>1.125</v>
      </c>
      <c r="S12" s="12">
        <v>1.375</v>
      </c>
      <c r="AA12" s="79" t="s">
        <v>78</v>
      </c>
      <c r="AB12" s="80">
        <f>[1]Data!AA1</f>
        <v>0</v>
      </c>
      <c r="AC12" s="80"/>
      <c r="AD12" s="81"/>
      <c r="AE12" s="82" t="s">
        <v>79</v>
      </c>
      <c r="AF12" s="83" t="str">
        <f>CONCATENATE("$", TEXT(ROUNDUP([1]Data!AD6*1.35,0), "#,##0"), "(", AG5/2, " Days) $", TEXT(ROUNDUP([1]Data!AD6*1.95,0), "#,##0"), "(NOW)")</f>
        <v>$0(0 Days) $0(NOW)</v>
      </c>
      <c r="AG12" s="83"/>
      <c r="AH12" s="12"/>
      <c r="AI12" s="12" t="str">
        <f>IF(AND(OR([1]Data!B$3="H",[1]Data!B$3="MH"),AJ12=$B$13),IF([1]Data!D$2=AK$11,AK12,AL12),"")</f>
        <v/>
      </c>
      <c r="AJ12" s="11">
        <v>1.5</v>
      </c>
      <c r="AK12" s="11">
        <v>10</v>
      </c>
      <c r="AL12" s="12">
        <v>0.5</v>
      </c>
      <c r="AM12" s="12">
        <v>2.5</v>
      </c>
      <c r="AN12" s="12">
        <v>1.75</v>
      </c>
      <c r="AO12" s="12">
        <v>1.5</v>
      </c>
      <c r="AP12" s="12">
        <v>4.625</v>
      </c>
      <c r="AQ12" s="12">
        <v>0.502</v>
      </c>
      <c r="AR12" s="12">
        <v>0.75</v>
      </c>
      <c r="AS12" s="12">
        <v>0.75</v>
      </c>
      <c r="AT12" s="12">
        <v>5</v>
      </c>
      <c r="AU12" s="12">
        <v>3</v>
      </c>
      <c r="AV12" s="12">
        <v>4.5</v>
      </c>
      <c r="AW12" s="12">
        <v>1</v>
      </c>
      <c r="AX12" s="12">
        <v>1</v>
      </c>
      <c r="AY12" s="10">
        <v>0.38</v>
      </c>
      <c r="AZ12" s="10" t="s">
        <v>80</v>
      </c>
      <c r="BA12" s="10">
        <v>1.375</v>
      </c>
      <c r="BB12" s="10">
        <v>1.63</v>
      </c>
      <c r="BC12" s="56">
        <v>0.4375</v>
      </c>
      <c r="BD12" s="12">
        <v>0.81</v>
      </c>
      <c r="BE12" s="12">
        <v>0.437</v>
      </c>
      <c r="BF12" s="12">
        <v>3.25</v>
      </c>
      <c r="BG12" s="12">
        <v>3.875</v>
      </c>
      <c r="BH12" s="12" t="s">
        <v>81</v>
      </c>
      <c r="BI12" s="12">
        <v>0.75</v>
      </c>
      <c r="BJ12" s="12">
        <v>2.875</v>
      </c>
      <c r="BK12" s="12">
        <v>0.44</v>
      </c>
      <c r="BL12" s="12">
        <v>3.44</v>
      </c>
      <c r="BN12" s="28">
        <v>3.25</v>
      </c>
      <c r="BO12" s="28">
        <v>1.75</v>
      </c>
      <c r="BP12" s="28">
        <v>8.875</v>
      </c>
      <c r="BQ12" s="28">
        <v>9.625</v>
      </c>
      <c r="BR12" s="28">
        <v>2.875</v>
      </c>
      <c r="BS12" s="28">
        <v>8.9350000000000005</v>
      </c>
      <c r="BT12" s="28">
        <v>6.5</v>
      </c>
      <c r="BU12" s="28">
        <v>2.5619999999999998</v>
      </c>
      <c r="BV12" s="28">
        <v>2.8130000000000002</v>
      </c>
      <c r="BW12" s="28" t="str">
        <f>IF([1]Data!$B$3="h",IF(AND([1]Data!$B$4=BN12,BO12=$B$15),IF(OR([1]Data!$B$5="mp1",[1]Data!$B$5="mp3"),BP12+$B$18,""),""),"")</f>
        <v/>
      </c>
      <c r="BX12" s="28" t="str">
        <f>IF([1]Data!$B$3="h",IF(AND([1]Data!$B$4=$BN12,$BO12=$B$15),IF([1]Data!$B$5="mp2",BQ12+$B$18,""),""),"")</f>
        <v/>
      </c>
      <c r="BY12" s="28" t="str">
        <f>IF([1]Data!$B$3="h",IF(AND([1]Data!$B$4=$BN12,$BO12=$B$15),IF([1]Data!$B$5="mt1",BR12,""),""),"")</f>
        <v/>
      </c>
      <c r="BZ12" s="28" t="str">
        <f>IF([1]Data!$B$3="h",IF(AND([1]Data!$B$4=$BN12,$BO12=$B$15),IF([1]Data!$B$5="mpu3",BS12+$B$18,""),""),"")</f>
        <v/>
      </c>
      <c r="CA12" s="28" t="str">
        <f>IF([1]Data!$B$3="h",IF(AND([1]Data!$B$4=$BN12,$BO12=$B$15),IF([1]Data!$B$5="mt2",BT12+$B$18,""),""),"")</f>
        <v/>
      </c>
      <c r="CB12" s="28" t="str">
        <f>IF([1]Data!$B$3="h",IF(AND([1]Data!$B$4=$BN12,$BO12=$B$15),IF([1]Data!$B$5="ms2",BU12,""),""),"")</f>
        <v/>
      </c>
      <c r="CC12" s="28" t="str">
        <f>IF([1]Data!$B$3="h",IF(AND([1]Data!$B$4=$BN12,$BO12=$B$15),IF([1]Data!$B$5="ms4",BV12,""),""),"")</f>
        <v/>
      </c>
      <c r="CD12" s="28"/>
    </row>
    <row r="13" spans="1:83" s="24" customFormat="1" ht="16.5" thickBot="1">
      <c r="A13" s="84" t="s">
        <v>82</v>
      </c>
      <c r="B13" s="72">
        <f>IF([1]Data!B4="","",[1]Data!B4)</f>
        <v>5</v>
      </c>
      <c r="C13" s="85"/>
      <c r="D13" s="86"/>
      <c r="E13" s="87" t="s">
        <v>83</v>
      </c>
      <c r="F13" s="88" t="str">
        <f>CONCATENATE("$", TEXT([1]Data!D6*1.05, "#,##0"), " - ", G5, " Days")</f>
        <v>$2,329 - 30 Days</v>
      </c>
      <c r="G13" s="89"/>
      <c r="H13" s="64"/>
      <c r="I13" s="90"/>
      <c r="J13" s="90"/>
      <c r="K13" s="81"/>
      <c r="L13" s="91"/>
      <c r="M13" s="90"/>
      <c r="Q13" s="12">
        <v>1.375</v>
      </c>
      <c r="R13" s="12">
        <v>1.625</v>
      </c>
      <c r="S13" s="12">
        <v>1.625</v>
      </c>
      <c r="AA13" s="24" t="s">
        <v>82</v>
      </c>
      <c r="AB13" s="92" t="str">
        <f>IF([1]Data!AB4="","",[1]Data!AB4)</f>
        <v/>
      </c>
      <c r="AC13" s="93"/>
      <c r="AE13" s="25" t="s">
        <v>83</v>
      </c>
      <c r="AF13" s="83" t="str">
        <f>CONCATENATE("$", TEXT([1]Data!AD6*1.05, "#,##0"), " - ", AG5, " Days")</f>
        <v>$0 -  Days</v>
      </c>
      <c r="AG13" s="83"/>
      <c r="AH13" s="12"/>
      <c r="AI13" s="12" t="str">
        <f>IF(AND(OR([1]Data!B$3="H",[1]Data!B$3="MH"),AJ13=$B$13),IF([1]Data!D$2=AK$11,AK13,AL13),"")</f>
        <v/>
      </c>
      <c r="AJ13" s="11">
        <v>2</v>
      </c>
      <c r="AK13" s="11">
        <v>10</v>
      </c>
      <c r="AL13" s="12">
        <v>0.5</v>
      </c>
      <c r="AM13" s="12">
        <v>3</v>
      </c>
      <c r="AN13" s="12">
        <v>1.75</v>
      </c>
      <c r="AO13" s="12">
        <v>1.5</v>
      </c>
      <c r="AP13" s="12">
        <v>4.625</v>
      </c>
      <c r="AQ13" s="12">
        <v>0.752</v>
      </c>
      <c r="AR13" s="12">
        <v>1.25</v>
      </c>
      <c r="AS13" s="12">
        <v>1.25</v>
      </c>
      <c r="AT13" s="12">
        <v>6.25</v>
      </c>
      <c r="AU13" s="12">
        <v>3.5</v>
      </c>
      <c r="AV13" s="12">
        <v>5.75</v>
      </c>
      <c r="AW13" s="12">
        <v>1.375</v>
      </c>
      <c r="AX13" s="12">
        <v>1.375</v>
      </c>
      <c r="AY13" s="10">
        <v>0.63</v>
      </c>
      <c r="AZ13" s="10" t="s">
        <v>84</v>
      </c>
      <c r="BA13" s="10">
        <v>1.8129999999999999</v>
      </c>
      <c r="BB13" s="10">
        <v>2.0499999999999998</v>
      </c>
      <c r="BC13" s="56">
        <v>0.65625</v>
      </c>
      <c r="BD13" s="12">
        <v>1.19</v>
      </c>
      <c r="BE13" s="12">
        <v>0.56200000000000006</v>
      </c>
      <c r="BF13" s="12">
        <v>4</v>
      </c>
      <c r="BG13" s="12">
        <v>3.625</v>
      </c>
      <c r="BH13" s="12" t="s">
        <v>85</v>
      </c>
      <c r="BI13" s="12">
        <v>0.93700000000000006</v>
      </c>
      <c r="BJ13" s="12">
        <v>2.875</v>
      </c>
      <c r="BK13" s="12">
        <v>0.56000000000000005</v>
      </c>
      <c r="BL13" s="12">
        <v>4.13</v>
      </c>
      <c r="BN13" s="28">
        <v>3.25</v>
      </c>
      <c r="BO13" s="28">
        <v>2</v>
      </c>
      <c r="BP13" s="28">
        <v>9</v>
      </c>
      <c r="BQ13" s="28">
        <v>9.75</v>
      </c>
      <c r="BR13" s="28">
        <v>3</v>
      </c>
      <c r="BS13" s="28">
        <v>9.06</v>
      </c>
      <c r="BT13" s="28">
        <v>6.625</v>
      </c>
      <c r="BU13" s="28">
        <v>2.6880000000000002</v>
      </c>
      <c r="BV13" s="28">
        <v>2.9369999999999998</v>
      </c>
      <c r="BW13" s="28" t="str">
        <f>IF([1]Data!$B$3="h",IF(AND([1]Data!$B$4=BN13,BO13=$B$15),IF(OR([1]Data!$B$5="mp1",[1]Data!$B$5="mp3"),BP13+$B$18,""),""),"")</f>
        <v/>
      </c>
      <c r="BX13" s="28" t="str">
        <f>IF([1]Data!$B$3="h",IF(AND([1]Data!$B$4=$BN13,$BO13=$B$15),IF([1]Data!$B$5="mp2",BQ13+$B$18,""),""),"")</f>
        <v/>
      </c>
      <c r="BY13" s="28" t="str">
        <f>IF([1]Data!$B$3="h",IF(AND([1]Data!$B$4=$BN13,$BO13=$B$15),IF([1]Data!$B$5="mt1",BR13,""),""),"")</f>
        <v/>
      </c>
      <c r="BZ13" s="28" t="str">
        <f>IF([1]Data!$B$3="h",IF(AND([1]Data!$B$4=$BN13,$BO13=$B$15),IF([1]Data!$B$5="mpu3",BS13+$B$18,""),""),"")</f>
        <v/>
      </c>
      <c r="CA13" s="28" t="str">
        <f>IF([1]Data!$B$3="h",IF(AND([1]Data!$B$4=$BN13,$BO13=$B$15),IF([1]Data!$B$5="mt2",BT13+$B$18,""),""),"")</f>
        <v/>
      </c>
      <c r="CB13" s="28" t="str">
        <f>IF([1]Data!$B$3="h",IF(AND([1]Data!$B$4=$BN13,$BO13=$B$15),IF([1]Data!$B$5="ms2",BU13,""),""),"")</f>
        <v/>
      </c>
      <c r="CC13" s="28" t="str">
        <f>IF([1]Data!$B$3="h",IF(AND([1]Data!$B$4=$BN13,$BO13=$B$15),IF([1]Data!$B$5="ms4",BV13,""),""),"")</f>
        <v/>
      </c>
      <c r="CD13" s="28"/>
    </row>
    <row r="14" spans="1:83" s="24" customFormat="1" ht="17" thickTop="1" thickBot="1">
      <c r="A14" s="84" t="s">
        <v>86</v>
      </c>
      <c r="B14" s="94" t="str">
        <f>IF([1]Data!N6="","",[1]Data!N6)</f>
        <v>Rect Head Flange (MF1)</v>
      </c>
      <c r="C14" s="95" t="s">
        <v>87</v>
      </c>
      <c r="D14" s="96"/>
      <c r="E14" s="96"/>
      <c r="F14" s="96"/>
      <c r="G14" s="97"/>
      <c r="H14" s="98"/>
      <c r="I14" s="99"/>
      <c r="J14" s="100"/>
      <c r="K14" s="101"/>
      <c r="L14" s="81"/>
      <c r="M14" s="81"/>
      <c r="N14" s="24" t="str">
        <f>IF(M14&gt;L14,"No Stock","")</f>
        <v/>
      </c>
      <c r="O14" s="102" t="str">
        <f>IF(M14="","",M14*K14)</f>
        <v/>
      </c>
      <c r="Q14" s="12">
        <v>1.75</v>
      </c>
      <c r="R14" s="12">
        <v>2</v>
      </c>
      <c r="S14" s="12">
        <v>1.875</v>
      </c>
      <c r="AA14" s="24" t="s">
        <v>86</v>
      </c>
      <c r="AB14" s="103" t="str">
        <f>IF([1]Data!AN6="","",[1]Data!AN6)</f>
        <v/>
      </c>
      <c r="AC14" s="104" t="s">
        <v>87</v>
      </c>
      <c r="AD14" s="105"/>
      <c r="AE14" s="105"/>
      <c r="AF14" s="105"/>
      <c r="AG14" s="106"/>
      <c r="AH14" s="12"/>
      <c r="AI14" s="12" t="str">
        <f>IF(AND(OR([1]Data!B$3="H",[1]Data!B$3="MH"),AJ14=$B$13),IF([1]Data!D$2=AK$11,AK14,AL14),"")</f>
        <v/>
      </c>
      <c r="AJ14" s="11">
        <v>2.5</v>
      </c>
      <c r="AK14" s="11">
        <v>10</v>
      </c>
      <c r="AL14" s="12">
        <v>0.5</v>
      </c>
      <c r="AM14" s="12">
        <v>3.5</v>
      </c>
      <c r="AN14" s="12">
        <v>1.75</v>
      </c>
      <c r="AO14" s="12">
        <v>1.5</v>
      </c>
      <c r="AP14" s="12">
        <v>4.75</v>
      </c>
      <c r="AQ14" s="12">
        <v>0.75</v>
      </c>
      <c r="AR14" s="12">
        <v>1.25</v>
      </c>
      <c r="AS14" s="12">
        <v>1.25</v>
      </c>
      <c r="AT14" s="12">
        <v>6.75</v>
      </c>
      <c r="AU14" s="12">
        <v>4</v>
      </c>
      <c r="AV14" s="12">
        <v>6.25</v>
      </c>
      <c r="AW14" s="12">
        <v>1.375</v>
      </c>
      <c r="AX14" s="12">
        <v>1.375</v>
      </c>
      <c r="AY14" s="10">
        <v>0.63</v>
      </c>
      <c r="AZ14" s="10" t="s">
        <v>84</v>
      </c>
      <c r="BA14" s="10">
        <v>1.8129999999999999</v>
      </c>
      <c r="BB14" s="10">
        <v>2.5499999999999998</v>
      </c>
      <c r="BC14" s="56">
        <v>0.65625</v>
      </c>
      <c r="BD14" s="12">
        <v>1.19</v>
      </c>
      <c r="BE14" s="12">
        <v>0.81299999999999994</v>
      </c>
      <c r="BF14" s="12">
        <v>4.875</v>
      </c>
      <c r="BG14" s="12">
        <v>3.375</v>
      </c>
      <c r="BH14" s="12" t="s">
        <v>88</v>
      </c>
      <c r="BI14" s="12">
        <v>1.3120000000000001</v>
      </c>
      <c r="BJ14" s="12">
        <v>3</v>
      </c>
      <c r="BK14" s="12">
        <v>0.56000000000000005</v>
      </c>
      <c r="BL14" s="12">
        <v>4.63</v>
      </c>
      <c r="BN14" s="28">
        <v>4</v>
      </c>
      <c r="BO14" s="28">
        <v>1.75</v>
      </c>
      <c r="BP14" s="28">
        <v>9.75</v>
      </c>
      <c r="BQ14" s="28">
        <v>10.63</v>
      </c>
      <c r="BR14" s="28">
        <v>2.875</v>
      </c>
      <c r="BS14" s="28">
        <v>9.75</v>
      </c>
      <c r="BT14" s="28">
        <v>6.75</v>
      </c>
      <c r="BU14" s="28">
        <v>2.75</v>
      </c>
      <c r="BV14" s="28">
        <v>2.9369999999999998</v>
      </c>
      <c r="BW14" s="28" t="str">
        <f>IF([1]Data!$B$3="h",IF(AND([1]Data!$B$4=BN14,BO14=$B$15),IF(OR([1]Data!$B$5="mp1",[1]Data!$B$5="mp3"),BP14+$B$18,""),""),"")</f>
        <v/>
      </c>
      <c r="BX14" s="28" t="str">
        <f>IF([1]Data!$B$3="h",IF(AND([1]Data!$B$4=$BN14,$BO14=$B$15),IF([1]Data!$B$5="mp2",BQ14+$B$18,""),""),"")</f>
        <v/>
      </c>
      <c r="BY14" s="28" t="str">
        <f>IF([1]Data!$B$3="h",IF(AND([1]Data!$B$4=$BN14,$BO14=$B$15),IF([1]Data!$B$5="mt1",BR14,""),""),"")</f>
        <v/>
      </c>
      <c r="BZ14" s="28" t="str">
        <f>IF([1]Data!$B$3="h",IF(AND([1]Data!$B$4=$BN14,$BO14=$B$15),IF([1]Data!$B$5="mpu3",BS14+$B$18,""),""),"")</f>
        <v/>
      </c>
      <c r="CA14" s="28" t="str">
        <f>IF([1]Data!$B$3="h",IF(AND([1]Data!$B$4=$BN14,$BO14=$B$15),IF([1]Data!$B$5="mt2",BT14+$B$18,""),""),"")</f>
        <v/>
      </c>
      <c r="CB14" s="28" t="str">
        <f>IF([1]Data!$B$3="h",IF(AND([1]Data!$B$4=$BN14,$BO14=$B$15),IF([1]Data!$B$5="ms2",BU14,""),""),"")</f>
        <v/>
      </c>
      <c r="CC14" s="28" t="str">
        <f>IF([1]Data!$B$3="h",IF(AND([1]Data!$B$4=$BN14,$BO14=$B$15),IF([1]Data!$B$5="ms4",BV14,""),""),"")</f>
        <v/>
      </c>
      <c r="CD14" s="28"/>
    </row>
    <row r="15" spans="1:83" s="24" customFormat="1" ht="18" customHeight="1" thickTop="1">
      <c r="A15" s="84" t="s">
        <v>89</v>
      </c>
      <c r="B15" s="72">
        <f>IF([1]Data!B6="","",[1]Data!B6)</f>
        <v>2</v>
      </c>
      <c r="C15" s="107" t="s">
        <v>90</v>
      </c>
      <c r="D15" s="108"/>
      <c r="E15" s="108"/>
      <c r="F15" s="109">
        <f>[1]Data!L2</f>
        <v>779</v>
      </c>
      <c r="G15" s="77"/>
      <c r="H15" s="110"/>
      <c r="I15" s="99"/>
      <c r="J15" s="111"/>
      <c r="K15" s="101"/>
      <c r="L15" s="81"/>
      <c r="M15" s="81"/>
      <c r="N15" s="24" t="str">
        <f t="shared" ref="N15:N43" si="2">IF(M15&gt;L15,"No Stock","")</f>
        <v/>
      </c>
      <c r="O15" s="102" t="str">
        <f t="shared" ref="O15:O43" si="3">IF(M15="","",M15*K15)</f>
        <v/>
      </c>
      <c r="Q15" s="12">
        <v>2</v>
      </c>
      <c r="R15" s="12">
        <v>2.25</v>
      </c>
      <c r="S15" s="12">
        <v>2</v>
      </c>
      <c r="AA15" s="24" t="s">
        <v>89</v>
      </c>
      <c r="AB15" s="92" t="str">
        <f>IF([1]Data!AB6="","",[1]Data!AB6)</f>
        <v/>
      </c>
      <c r="AC15" s="112" t="s">
        <v>90</v>
      </c>
      <c r="AD15" s="113"/>
      <c r="AE15" s="113"/>
      <c r="AF15" s="83">
        <f>[1]Data!AL2</f>
        <v>0</v>
      </c>
      <c r="AG15" s="114"/>
      <c r="AH15" s="12"/>
      <c r="AI15" s="12" t="str">
        <f>IF(AND(OR([1]Data!B$3="H",[1]Data!B$3="MH"),AJ15=$B$13),IF([1]Data!D$2=AK$11,AK15,AL15),"")</f>
        <v/>
      </c>
      <c r="AJ15" s="11">
        <v>3.25</v>
      </c>
      <c r="AK15" s="11">
        <v>12</v>
      </c>
      <c r="AL15" s="12">
        <v>0.75</v>
      </c>
      <c r="AM15" s="12">
        <v>4.5</v>
      </c>
      <c r="AN15" s="12">
        <v>2</v>
      </c>
      <c r="AO15" s="12">
        <v>1.75</v>
      </c>
      <c r="AP15" s="12">
        <v>5.5</v>
      </c>
      <c r="AQ15" s="12">
        <v>1.002</v>
      </c>
      <c r="AR15" s="12">
        <v>1.5</v>
      </c>
      <c r="AS15" s="12">
        <v>1.5</v>
      </c>
      <c r="AT15" s="12">
        <v>8.5</v>
      </c>
      <c r="AU15" s="12">
        <v>5</v>
      </c>
      <c r="AV15" s="12">
        <v>8</v>
      </c>
      <c r="AW15" s="12">
        <v>1.75</v>
      </c>
      <c r="AX15" s="12">
        <v>1.75</v>
      </c>
      <c r="AY15" s="10">
        <v>0.75</v>
      </c>
      <c r="AZ15" s="10" t="s">
        <v>91</v>
      </c>
      <c r="BA15" s="10">
        <v>2.3119999999999998</v>
      </c>
      <c r="BB15" s="10">
        <v>3.25</v>
      </c>
      <c r="BC15" s="56">
        <v>0.88</v>
      </c>
      <c r="BD15" s="12">
        <v>1.56</v>
      </c>
      <c r="BE15" s="12">
        <v>0.81299999999999994</v>
      </c>
      <c r="BF15" s="12">
        <v>5.875</v>
      </c>
      <c r="BG15" s="12">
        <v>4.125</v>
      </c>
      <c r="BH15" s="12" t="s">
        <v>92</v>
      </c>
      <c r="BI15" s="12">
        <v>1.5</v>
      </c>
      <c r="BJ15" s="12">
        <v>3.5</v>
      </c>
      <c r="BK15" s="12">
        <v>0.69</v>
      </c>
      <c r="BL15" s="12">
        <v>5.88</v>
      </c>
      <c r="BN15" s="28">
        <v>4</v>
      </c>
      <c r="BO15" s="28">
        <v>2</v>
      </c>
      <c r="BP15" s="28">
        <v>9.875</v>
      </c>
      <c r="BQ15" s="28">
        <v>10.755000000000001</v>
      </c>
      <c r="BR15" s="28">
        <v>3</v>
      </c>
      <c r="BS15" s="28">
        <v>9.875</v>
      </c>
      <c r="BT15" s="28">
        <v>6.875</v>
      </c>
      <c r="BU15" s="28">
        <v>2.875</v>
      </c>
      <c r="BV15" s="28">
        <v>3.0619999999999998</v>
      </c>
      <c r="BW15" s="28" t="str">
        <f>IF([1]Data!$B$3="h",IF(AND([1]Data!$B$4=BN15,BO15=$B$15),IF(OR([1]Data!$B$5="mp1",[1]Data!$B$5="mp3"),BP15+$B$18,""),""),"")</f>
        <v/>
      </c>
      <c r="BX15" s="28" t="str">
        <f>IF([1]Data!$B$3="h",IF(AND([1]Data!$B$4=$BN15,$BO15=$B$15),IF([1]Data!$B$5="mp2",BQ15+$B$18,""),""),"")</f>
        <v/>
      </c>
      <c r="BY15" s="28" t="str">
        <f>IF([1]Data!$B$3="h",IF(AND([1]Data!$B$4=$BN15,$BO15=$B$15),IF([1]Data!$B$5="mt1",BR15,""),""),"")</f>
        <v/>
      </c>
      <c r="BZ15" s="28" t="str">
        <f>IF([1]Data!$B$3="h",IF(AND([1]Data!$B$4=$BN15,$BO15=$B$15),IF([1]Data!$B$5="mpu3",BS15+$B$18,""),""),"")</f>
        <v/>
      </c>
      <c r="CA15" s="28" t="str">
        <f>IF([1]Data!$B$3="h",IF(AND([1]Data!$B$4=$BN15,$BO15=$B$15),IF([1]Data!$B$5="mt2",BT15+$B$18,""),""),"")</f>
        <v/>
      </c>
      <c r="CB15" s="28" t="str">
        <f>IF([1]Data!$B$3="h",IF(AND([1]Data!$B$4=$BN15,$BO15=$B$15),IF([1]Data!$B$5="ms2",BU15,""),""),"")</f>
        <v/>
      </c>
      <c r="CC15" s="28" t="str">
        <f>IF([1]Data!$B$3="h",IF(AND([1]Data!$B$4=$BN15,$BO15=$B$15),IF([1]Data!$B$5="ms4",BV15,""),""),"")</f>
        <v/>
      </c>
      <c r="CD15" s="28"/>
    </row>
    <row r="16" spans="1:83" s="24" customFormat="1" ht="18" customHeight="1">
      <c r="A16" s="84" t="s">
        <v>93</v>
      </c>
      <c r="B16" s="115" t="str">
        <f>IF([1]Data!D28="","",[1]Data!D28)</f>
        <v>Non Cushion</v>
      </c>
      <c r="C16" s="116" t="str">
        <f>IF([1]ShipVia!G90="","",[1]ShipVia!G90)</f>
        <v>Hyd Rod Poly Seal Kit KHR20</v>
      </c>
      <c r="D16" s="117"/>
      <c r="E16" s="117"/>
      <c r="F16" s="109">
        <f>IF(C16="","",([1]ShipVia!H90*(1-E$11)))</f>
        <v>80</v>
      </c>
      <c r="G16" s="77"/>
      <c r="H16" s="25" t="s">
        <v>94</v>
      </c>
      <c r="I16" s="118" t="s">
        <v>95</v>
      </c>
      <c r="J16" s="119" t="s">
        <v>96</v>
      </c>
      <c r="K16" s="120" t="s">
        <v>97</v>
      </c>
      <c r="L16" s="82" t="s">
        <v>98</v>
      </c>
      <c r="M16" s="81"/>
      <c r="N16" s="24" t="str">
        <f t="shared" si="2"/>
        <v/>
      </c>
      <c r="O16" s="102" t="str">
        <f t="shared" si="3"/>
        <v/>
      </c>
      <c r="Q16" s="12">
        <v>2.5</v>
      </c>
      <c r="R16" s="12">
        <v>3</v>
      </c>
      <c r="S16" s="12">
        <v>2.25</v>
      </c>
      <c r="AA16" s="24" t="s">
        <v>93</v>
      </c>
      <c r="AB16" s="103" t="str">
        <f>IF([1]Data!AD28="","",[1]Data!AD28)</f>
        <v/>
      </c>
      <c r="AC16" s="121" t="str">
        <f>IF([1]ShipVia!AG90="","",[1]ShipVia!AG90)</f>
        <v/>
      </c>
      <c r="AD16" s="122"/>
      <c r="AE16" s="122"/>
      <c r="AF16" s="83" t="str">
        <f>IF(AC16="","",([1]ShipVia!AH90*(1-AE$11)))</f>
        <v/>
      </c>
      <c r="AG16" s="114"/>
      <c r="AH16" s="12"/>
      <c r="AI16" s="12" t="str">
        <f>IF(AND(OR([1]Data!B$3="H",[1]Data!B$3="MH"),AJ16=$B$13),IF([1]Data!D$2=AK$11,AK16,AL16),"")</f>
        <v/>
      </c>
      <c r="AJ16" s="11">
        <v>4</v>
      </c>
      <c r="AK16" s="11">
        <v>12</v>
      </c>
      <c r="AL16" s="12">
        <v>0.75</v>
      </c>
      <c r="AM16" s="12">
        <v>5</v>
      </c>
      <c r="AN16" s="12">
        <v>2</v>
      </c>
      <c r="AO16" s="12">
        <v>1.75</v>
      </c>
      <c r="AP16" s="12">
        <v>5.75</v>
      </c>
      <c r="AQ16" s="12">
        <v>1.377</v>
      </c>
      <c r="AR16" s="12">
        <v>2</v>
      </c>
      <c r="AS16" s="12">
        <v>2.125</v>
      </c>
      <c r="AT16" s="12">
        <v>9</v>
      </c>
      <c r="AU16" s="12">
        <v>5.5</v>
      </c>
      <c r="AV16" s="12">
        <v>8.5</v>
      </c>
      <c r="AW16" s="12">
        <v>1.75</v>
      </c>
      <c r="AX16" s="12">
        <v>1.75</v>
      </c>
      <c r="AY16" s="10">
        <v>0.88</v>
      </c>
      <c r="AZ16" s="10" t="s">
        <v>91</v>
      </c>
      <c r="BA16" s="10">
        <v>2.3119999999999998</v>
      </c>
      <c r="BB16" s="10">
        <v>3.82</v>
      </c>
      <c r="BC16" s="56">
        <v>1.1875</v>
      </c>
      <c r="BD16" s="12">
        <v>2.125</v>
      </c>
      <c r="BE16" s="12">
        <v>1.0620000000000001</v>
      </c>
      <c r="BF16" s="12">
        <v>6.75</v>
      </c>
      <c r="BG16" s="12">
        <v>4</v>
      </c>
      <c r="BH16" s="12" t="s">
        <v>99</v>
      </c>
      <c r="BI16" s="12">
        <v>2.0619999999999998</v>
      </c>
      <c r="BJ16" s="12">
        <v>3.75</v>
      </c>
      <c r="BK16" s="12">
        <v>0.69</v>
      </c>
      <c r="BL16" s="12">
        <v>6.38</v>
      </c>
      <c r="BN16" s="28">
        <v>4</v>
      </c>
      <c r="BO16" s="28">
        <v>2.5</v>
      </c>
      <c r="BP16" s="28">
        <v>10.125</v>
      </c>
      <c r="BQ16" s="28">
        <v>11.005000000000001</v>
      </c>
      <c r="BR16" s="28">
        <v>3.25</v>
      </c>
      <c r="BS16" s="28">
        <v>10.125</v>
      </c>
      <c r="BT16" s="28">
        <v>7.125</v>
      </c>
      <c r="BU16" s="28">
        <v>3.125</v>
      </c>
      <c r="BV16" s="28">
        <v>3.3119999999999998</v>
      </c>
      <c r="BW16" s="28" t="str">
        <f>IF([1]Data!$B$3="h",IF(AND([1]Data!$B$4=BN16,BO16=$B$15),IF(OR([1]Data!$B$5="mp1",[1]Data!$B$5="mp3"),BP16+$B$18,""),""),"")</f>
        <v/>
      </c>
      <c r="BX16" s="28" t="str">
        <f>IF([1]Data!$B$3="h",IF(AND([1]Data!$B$4=$BN16,$BO16=$B$15),IF([1]Data!$B$5="mp2",BQ16+$B$18,""),""),"")</f>
        <v/>
      </c>
      <c r="BY16" s="28" t="str">
        <f>IF([1]Data!$B$3="h",IF(AND([1]Data!$B$4=$BN16,$BO16=$B$15),IF([1]Data!$B$5="mt1",BR16,""),""),"")</f>
        <v/>
      </c>
      <c r="BZ16" s="28" t="str">
        <f>IF([1]Data!$B$3="h",IF(AND([1]Data!$B$4=$BN16,$BO16=$B$15),IF([1]Data!$B$5="mpu3",BS16+$B$18,""),""),"")</f>
        <v/>
      </c>
      <c r="CA16" s="28" t="str">
        <f>IF([1]Data!$B$3="h",IF(AND([1]Data!$B$4=$BN16,$BO16=$B$15),IF([1]Data!$B$5="mt2",BT16+$B$18,""),""),"")</f>
        <v/>
      </c>
      <c r="CB16" s="28" t="str">
        <f>IF([1]Data!$B$3="h",IF(AND([1]Data!$B$4=$BN16,$BO16=$B$15),IF([1]Data!$B$5="ms2",BU16,""),""),"")</f>
        <v/>
      </c>
      <c r="CC16" s="28" t="str">
        <f>IF([1]Data!$B$3="h",IF(AND([1]Data!$B$4=$BN16,$BO16=$B$15),IF([1]Data!$B$5="ms4",BV16,""),""),"")</f>
        <v/>
      </c>
      <c r="CD16" s="28"/>
    </row>
    <row r="17" spans="1:82" s="24" customFormat="1" ht="18" customHeight="1">
      <c r="A17" s="84" t="s">
        <v>100</v>
      </c>
      <c r="B17" s="94" t="str">
        <f>IF([1]Data!D2="","",AH10)</f>
        <v>#12 SAE</v>
      </c>
      <c r="C17" s="116" t="str">
        <f>IF([1]ShipVia!G91="","",[1]ShipVia!G91)</f>
        <v>Hyd Piston Poly Seal Kit KHP50</v>
      </c>
      <c r="D17" s="117"/>
      <c r="E17" s="117"/>
      <c r="F17" s="109">
        <f>IF(C17="","",([1]ShipVia!H91*(1-E$11)))</f>
        <v>233</v>
      </c>
      <c r="G17" s="77"/>
      <c r="H17" s="123">
        <v>2</v>
      </c>
      <c r="I17" s="118" t="s">
        <v>101</v>
      </c>
      <c r="J17" s="124">
        <v>25</v>
      </c>
      <c r="K17" s="125">
        <v>20</v>
      </c>
      <c r="L17" s="125">
        <v>18</v>
      </c>
      <c r="M17" s="126"/>
      <c r="N17" s="24" t="str">
        <f t="shared" si="2"/>
        <v/>
      </c>
      <c r="O17" s="102" t="str">
        <f t="shared" si="3"/>
        <v/>
      </c>
      <c r="Q17" s="12">
        <v>3</v>
      </c>
      <c r="R17" s="12">
        <v>3.5</v>
      </c>
      <c r="S17" s="12">
        <v>2.25</v>
      </c>
      <c r="AA17" s="24" t="s">
        <v>100</v>
      </c>
      <c r="AB17" s="103" t="str">
        <f>IF([1]Data!AD2="","",BH10)</f>
        <v/>
      </c>
      <c r="AC17" s="121" t="str">
        <f>IF([1]ShipVia!AG91="","",[1]ShipVia!AG91)</f>
        <v/>
      </c>
      <c r="AD17" s="122"/>
      <c r="AE17" s="122"/>
      <c r="AF17" s="83" t="str">
        <f>IF(AC17="","",([1]ShipVia!AH91*(1-AE$11)))</f>
        <v/>
      </c>
      <c r="AG17" s="114"/>
      <c r="AH17" s="12"/>
      <c r="AI17" s="12">
        <f>IF(AND(OR([1]Data!B$3="H",[1]Data!B$3="MH"),AJ17=$B$13),IF(OR([1]Data!D$2="S"),AK17,AL17),"")</f>
        <v>12</v>
      </c>
      <c r="AJ17" s="11">
        <v>5</v>
      </c>
      <c r="AK17" s="11">
        <v>12</v>
      </c>
      <c r="AL17" s="12">
        <v>0.75</v>
      </c>
      <c r="AM17" s="12">
        <v>6.5</v>
      </c>
      <c r="AN17" s="12">
        <v>2</v>
      </c>
      <c r="AO17" s="12">
        <v>1.75</v>
      </c>
      <c r="AP17" s="12">
        <v>6.25</v>
      </c>
      <c r="AQ17" s="12">
        <v>1.752</v>
      </c>
      <c r="AR17" s="12">
        <v>2.5</v>
      </c>
      <c r="AS17" s="12">
        <v>2.25</v>
      </c>
      <c r="AT17" s="12">
        <v>10.5</v>
      </c>
      <c r="AU17" s="12">
        <v>7</v>
      </c>
      <c r="AV17" s="12">
        <v>10</v>
      </c>
      <c r="AW17" s="12">
        <v>1.75</v>
      </c>
      <c r="AX17" s="12">
        <v>1.75</v>
      </c>
      <c r="AY17" s="10">
        <v>0.88</v>
      </c>
      <c r="AZ17" s="10" t="s">
        <v>102</v>
      </c>
      <c r="BA17" s="10">
        <v>3.1880000000000002</v>
      </c>
      <c r="BB17" s="10">
        <v>4.95</v>
      </c>
      <c r="BC17" s="56">
        <v>1.53125</v>
      </c>
      <c r="BD17" s="12">
        <v>2.25</v>
      </c>
      <c r="BE17" s="12">
        <v>1.0620000000000001</v>
      </c>
      <c r="BF17" s="12">
        <v>8.25</v>
      </c>
      <c r="BG17" s="12">
        <v>4.5</v>
      </c>
      <c r="BH17" s="12" t="s">
        <v>99</v>
      </c>
      <c r="BI17" s="12">
        <v>2.9369999999999998</v>
      </c>
      <c r="BJ17" s="12">
        <v>4.25</v>
      </c>
      <c r="BK17" s="12">
        <v>0.94</v>
      </c>
      <c r="BL17" s="12">
        <v>8.19</v>
      </c>
      <c r="BN17" s="28">
        <v>5</v>
      </c>
      <c r="BO17" s="28">
        <v>2</v>
      </c>
      <c r="BP17" s="28">
        <v>10.5</v>
      </c>
      <c r="BQ17" s="28">
        <v>11.38</v>
      </c>
      <c r="BR17" s="28">
        <v>3</v>
      </c>
      <c r="BS17" s="28">
        <v>10.5</v>
      </c>
      <c r="BT17" s="28">
        <v>7.375</v>
      </c>
      <c r="BU17" s="28">
        <v>2.875</v>
      </c>
      <c r="BV17" s="28">
        <v>3</v>
      </c>
      <c r="BW17" s="28" t="str">
        <f>IF([1]Data!$B$3="h",IF(AND([1]Data!$B$4=BN17,BO17=$B$15),IF(OR([1]Data!$B$5="mp1",[1]Data!$B$5="mp3"),BP17+$B$18,""),""),"")</f>
        <v/>
      </c>
      <c r="BX17" s="28" t="str">
        <f>IF([1]Data!$B$3="h",IF(AND([1]Data!$B$4=$BN17,$BO17=$B$15),IF([1]Data!$B$5="mp2",BQ17+$B$18,""),""),"")</f>
        <v/>
      </c>
      <c r="BY17" s="28" t="str">
        <f>IF([1]Data!$B$3="h",IF(AND([1]Data!$B$4=$BN17,$BO17=$B$15),IF([1]Data!$B$5="mt1",BR17,""),""),"")</f>
        <v/>
      </c>
      <c r="BZ17" s="28" t="str">
        <f>IF([1]Data!$B$3="h",IF(AND([1]Data!$B$4=$BN17,$BO17=$B$15),IF([1]Data!$B$5="mpu3",BS17+$B$18,""),""),"")</f>
        <v/>
      </c>
      <c r="CA17" s="28" t="str">
        <f>IF([1]Data!$B$3="h",IF(AND([1]Data!$B$4=$BN17,$BO17=$B$15),IF([1]Data!$B$5="mt2",BT17+$B$18,""),""),"")</f>
        <v/>
      </c>
      <c r="CB17" s="28" t="str">
        <f>IF([1]Data!$B$3="h",IF(AND([1]Data!$B$4=$BN17,$BO17=$B$15),IF([1]Data!$B$5="ms2",BU17,""),""),"")</f>
        <v/>
      </c>
      <c r="CC17" s="28" t="str">
        <f>IF([1]Data!$B$3="h",IF(AND([1]Data!$B$4=$BN17,$BO17=$B$15),IF([1]Data!$B$5="ms4",BV17,""),""),"")</f>
        <v/>
      </c>
      <c r="CD17" s="28"/>
    </row>
    <row r="18" spans="1:82" s="24" customFormat="1" ht="18" customHeight="1">
      <c r="A18" s="84" t="s">
        <v>103</v>
      </c>
      <c r="B18" s="72">
        <f>IF([1]Data!B8="","",[1]Data!B8)</f>
        <v>12</v>
      </c>
      <c r="C18" s="116" t="str">
        <f>IF([1]ShipVia!G92="",[1]ShipVia!G89,[1]ShipVia!G92)</f>
        <v>Hyd Gland Poly Seal Kit KHG20</v>
      </c>
      <c r="D18" s="117"/>
      <c r="E18" s="117"/>
      <c r="F18" s="127">
        <f>IF(C18="","",IF([1]ShipVia!G92="",[1]ShipVia!H89*(1-E$11),[1]ShipVia!H92*(1-E$11)))</f>
        <v>409</v>
      </c>
      <c r="G18" s="128"/>
      <c r="H18" s="123">
        <v>2</v>
      </c>
      <c r="I18" s="118" t="s">
        <v>101</v>
      </c>
      <c r="J18" s="124">
        <v>40</v>
      </c>
      <c r="K18" s="125">
        <v>50</v>
      </c>
      <c r="L18" s="125">
        <v>22</v>
      </c>
      <c r="M18" s="126"/>
      <c r="N18" s="24" t="str">
        <f t="shared" si="2"/>
        <v/>
      </c>
      <c r="O18" s="102" t="str">
        <f t="shared" si="3"/>
        <v/>
      </c>
      <c r="Q18" s="12">
        <v>3.5</v>
      </c>
      <c r="R18" s="12">
        <v>3.5</v>
      </c>
      <c r="S18" s="12">
        <v>2.25</v>
      </c>
      <c r="AA18" s="24" t="s">
        <v>103</v>
      </c>
      <c r="AB18" s="92" t="str">
        <f>IF([1]Data!AB8="","",[1]Data!AB8)</f>
        <v/>
      </c>
      <c r="AC18" s="121">
        <f>IF([1]ShipVia!AG92="",[1]ShipVia!AG89,[1]ShipVia!AG92)</f>
        <v>0</v>
      </c>
      <c r="AD18" s="122"/>
      <c r="AE18" s="122"/>
      <c r="AF18" s="83">
        <f>IF(AC18="","",IF([1]ShipVia!AG92="",[1]ShipVia!AH89*(1-AE$11),[1]ShipVia!AH92*(1-AE$11)))</f>
        <v>0</v>
      </c>
      <c r="AG18" s="114"/>
      <c r="AH18" s="12"/>
      <c r="AI18" s="12" t="str">
        <f>IF(AND(OR([1]Data!B$3="H",[1]Data!B$3="MH"),AJ18=$B$13),IF([1]Data!D$2=AK$11,AK18,AL18),"")</f>
        <v/>
      </c>
      <c r="AJ18" s="11">
        <v>6</v>
      </c>
      <c r="AK18" s="11">
        <v>16</v>
      </c>
      <c r="AL18" s="12">
        <v>1</v>
      </c>
      <c r="AM18" s="12">
        <v>7.5</v>
      </c>
      <c r="AN18" s="12">
        <v>2.25</v>
      </c>
      <c r="AO18" s="12">
        <v>2.25</v>
      </c>
      <c r="AP18" s="12">
        <v>7.375</v>
      </c>
      <c r="AQ18" s="12">
        <v>2.0019999999999998</v>
      </c>
      <c r="AR18" s="12">
        <v>2.5</v>
      </c>
      <c r="AS18" s="12">
        <v>2.5</v>
      </c>
      <c r="AT18" s="12">
        <v>12.5</v>
      </c>
      <c r="AU18" s="12">
        <v>8.5</v>
      </c>
      <c r="AV18" s="12">
        <v>11.5</v>
      </c>
      <c r="AW18" s="12">
        <v>2</v>
      </c>
      <c r="AX18" s="12">
        <v>2</v>
      </c>
      <c r="AY18" s="10">
        <v>1</v>
      </c>
      <c r="AZ18" s="10" t="s">
        <v>104</v>
      </c>
      <c r="BA18" s="10">
        <v>3.625</v>
      </c>
      <c r="BB18" s="10">
        <v>5.73</v>
      </c>
      <c r="BC18" s="56">
        <v>1.75</v>
      </c>
      <c r="BD18" s="12">
        <v>2.5</v>
      </c>
      <c r="BE18" s="12">
        <v>1.3120000000000001</v>
      </c>
      <c r="BF18" s="12">
        <v>9.75</v>
      </c>
      <c r="BG18" s="12">
        <v>5.125</v>
      </c>
      <c r="BH18" s="12" t="s">
        <v>105</v>
      </c>
      <c r="BI18" s="12">
        <v>3.3119999999999998</v>
      </c>
      <c r="BJ18" s="12">
        <v>5.125</v>
      </c>
      <c r="BK18" s="12">
        <v>1.06</v>
      </c>
      <c r="BL18" s="12">
        <v>9.44</v>
      </c>
      <c r="BN18" s="28">
        <v>5</v>
      </c>
      <c r="BO18" s="28">
        <v>2.5</v>
      </c>
      <c r="BP18" s="28">
        <v>10.75</v>
      </c>
      <c r="BQ18" s="28">
        <v>11.63</v>
      </c>
      <c r="BR18" s="28">
        <v>3.25</v>
      </c>
      <c r="BS18" s="28">
        <v>10.75</v>
      </c>
      <c r="BT18" s="28">
        <v>7.625</v>
      </c>
      <c r="BU18" s="28">
        <v>3.125</v>
      </c>
      <c r="BV18" s="28">
        <v>3.25</v>
      </c>
      <c r="BW18" s="28" t="str">
        <f>IF([1]Data!$B$3="h",IF(AND([1]Data!$B$4=BN18,BO18=$B$15),IF(OR([1]Data!$B$5="mp1",[1]Data!$B$5="mp3"),BP18+$B$18,""),""),"")</f>
        <v/>
      </c>
      <c r="BX18" s="28" t="str">
        <f>IF([1]Data!$B$3="h",IF(AND([1]Data!$B$4=$BN18,$BO18=$B$15),IF([1]Data!$B$5="mp2",BQ18+$B$18,""),""),"")</f>
        <v/>
      </c>
      <c r="BY18" s="28" t="str">
        <f>IF([1]Data!$B$3="h",IF(AND([1]Data!$B$4=$BN18,$BO18=$B$15),IF([1]Data!$B$5="mt1",BR18,""),""),"")</f>
        <v/>
      </c>
      <c r="BZ18" s="28" t="str">
        <f>IF([1]Data!$B$3="h",IF(AND([1]Data!$B$4=$BN18,$BO18=$B$15),IF([1]Data!$B$5="mpu3",BS18+$B$18,""),""),"")</f>
        <v/>
      </c>
      <c r="CA18" s="28" t="str">
        <f>IF([1]Data!$B$3="h",IF(AND([1]Data!$B$4=$BN18,$BO18=$B$15),IF([1]Data!$B$5="mt2",BT18+$B$18,""),""),"")</f>
        <v/>
      </c>
      <c r="CB18" s="28" t="str">
        <f>IF([1]Data!$B$3="h",IF(AND([1]Data!$B$4=$BN18,$BO18=$B$15),IF([1]Data!$B$5="ms2",BU18,""),""),"")</f>
        <v/>
      </c>
      <c r="CC18" s="28" t="str">
        <f>IF([1]Data!$B$3="h",IF(AND([1]Data!$B$4=$BN18,$BO18=$B$15),IF([1]Data!$B$5="ms4",BV18,""),""),"")</f>
        <v/>
      </c>
      <c r="CD18" s="28"/>
    </row>
    <row r="19" spans="1:82" s="24" customFormat="1" ht="16">
      <c r="A19" s="84" t="s">
        <v>106</v>
      </c>
      <c r="B19" s="129" t="str">
        <f>IF([1]Data!D9="","",CONCATENATE([1]Data!D23,AW2,[1]Data!D9))</f>
        <v>Male 1 1/2-12</v>
      </c>
      <c r="C19" s="130" t="str">
        <f>IF(F19="","","Cylinder Weight")</f>
        <v>Cylinder Weight</v>
      </c>
      <c r="D19" s="131"/>
      <c r="E19" s="131"/>
      <c r="F19" s="132">
        <f>IF([1]Data!D27=0,"",[1]Data!$D27)</f>
        <v>122.8</v>
      </c>
      <c r="G19" s="133"/>
      <c r="H19" s="123">
        <v>1</v>
      </c>
      <c r="I19" s="118" t="s">
        <v>107</v>
      </c>
      <c r="J19" s="124">
        <v>40</v>
      </c>
      <c r="K19" s="125">
        <v>250</v>
      </c>
      <c r="L19" s="125">
        <v>28</v>
      </c>
      <c r="M19" s="126"/>
      <c r="N19" s="24" t="str">
        <f t="shared" si="2"/>
        <v/>
      </c>
      <c r="O19" s="102" t="str">
        <f t="shared" si="3"/>
        <v/>
      </c>
      <c r="Q19" s="12">
        <v>4</v>
      </c>
      <c r="R19" s="12">
        <v>4</v>
      </c>
      <c r="S19" s="12">
        <v>2.25</v>
      </c>
      <c r="AA19" s="24" t="s">
        <v>106</v>
      </c>
      <c r="AB19" s="134" t="str">
        <f>IF([1]Data!AD9="","",CONCATENATE([1]Data!AD23,BW2,[1]Data!AD9))</f>
        <v/>
      </c>
      <c r="AC19" s="135" t="str">
        <f>IF(AF19="","","Cylinder Weight")</f>
        <v/>
      </c>
      <c r="AD19" s="136"/>
      <c r="AE19" s="136"/>
      <c r="AF19" s="137" t="str">
        <f>IF([1]Data!AD27=0,"",[1]Data!$D27)</f>
        <v/>
      </c>
      <c r="AG19" s="138"/>
      <c r="AH19" s="12"/>
      <c r="AI19" s="12" t="str">
        <f>IF(AND(OR([1]Data!B$3="H",[1]Data!B$3="MH"),AJ19=$B$13),IF([1]Data!D$2=AK$11,AK19,AL19),"")</f>
        <v/>
      </c>
      <c r="AJ19" s="11">
        <v>7</v>
      </c>
      <c r="AK19" s="11">
        <v>20</v>
      </c>
      <c r="AL19" s="12">
        <v>1.25</v>
      </c>
      <c r="AM19" s="12">
        <v>8.5</v>
      </c>
      <c r="AN19" s="12">
        <v>2.75</v>
      </c>
      <c r="AO19" s="12">
        <v>2.75</v>
      </c>
      <c r="AP19" s="12">
        <v>8.5</v>
      </c>
      <c r="AQ19" s="12">
        <v>2.5019999999999998</v>
      </c>
      <c r="AR19" s="12">
        <v>3</v>
      </c>
      <c r="AS19" s="12">
        <v>3</v>
      </c>
      <c r="AT19" s="12">
        <v>14.75</v>
      </c>
      <c r="AU19" s="12">
        <v>9.75</v>
      </c>
      <c r="AV19" s="12">
        <v>13.5</v>
      </c>
      <c r="AW19" s="12">
        <v>2.5</v>
      </c>
      <c r="AX19" s="12">
        <v>2.5</v>
      </c>
      <c r="AY19" s="10">
        <v>1</v>
      </c>
      <c r="AZ19" s="10" t="s">
        <v>108</v>
      </c>
      <c r="BA19" s="10">
        <v>4.125</v>
      </c>
      <c r="BB19" s="10">
        <v>6.58</v>
      </c>
      <c r="BC19" s="12"/>
      <c r="BD19" s="12"/>
      <c r="BE19" s="12">
        <v>1.5620000000000001</v>
      </c>
      <c r="BF19" s="12">
        <v>11.25</v>
      </c>
      <c r="BG19" s="12">
        <v>5.75</v>
      </c>
      <c r="BH19" s="12" t="s">
        <v>109</v>
      </c>
      <c r="BI19" s="12">
        <v>3.75</v>
      </c>
      <c r="BJ19" s="12">
        <v>5.875</v>
      </c>
      <c r="BK19" s="12">
        <v>1.19</v>
      </c>
      <c r="BL19" s="12">
        <v>10.63</v>
      </c>
      <c r="BN19" s="28">
        <v>5</v>
      </c>
      <c r="BO19" s="28">
        <v>3</v>
      </c>
      <c r="BP19" s="28">
        <v>10.75</v>
      </c>
      <c r="BQ19" s="28">
        <v>11.63</v>
      </c>
      <c r="BR19" s="28">
        <v>3.25</v>
      </c>
      <c r="BS19" s="28">
        <v>10.75</v>
      </c>
      <c r="BT19" s="28">
        <v>7.625</v>
      </c>
      <c r="BU19" s="28">
        <v>3.125</v>
      </c>
      <c r="BV19" s="28">
        <v>3.25</v>
      </c>
      <c r="BW19" s="28" t="str">
        <f>IF([1]Data!$B$3="h",IF(AND([1]Data!$B$4=BN19,BO19=$B$15),IF(OR([1]Data!$B$5="mp1",[1]Data!$B$5="mp3"),BP19+$B$18,""),""),"")</f>
        <v/>
      </c>
      <c r="BX19" s="28" t="str">
        <f>IF([1]Data!$B$3="h",IF(AND([1]Data!$B$4=$BN19,$BO19=$B$15),IF([1]Data!$B$5="mp2",BQ19+$B$18,""),""),"")</f>
        <v/>
      </c>
      <c r="BY19" s="28" t="str">
        <f>IF([1]Data!$B$3="h",IF(AND([1]Data!$B$4=$BN19,$BO19=$B$15),IF([1]Data!$B$5="mt1",BR19,""),""),"")</f>
        <v/>
      </c>
      <c r="BZ19" s="28" t="str">
        <f>IF([1]Data!$B$3="h",IF(AND([1]Data!$B$4=$BN19,$BO19=$B$15),IF([1]Data!$B$5="mpu3",BS19+$B$18,""),""),"")</f>
        <v/>
      </c>
      <c r="CA19" s="28" t="str">
        <f>IF([1]Data!$B$3="h",IF(AND([1]Data!$B$4=$BN19,$BO19=$B$15),IF([1]Data!$B$5="mt2",BT19+$B$18,""),""),"")</f>
        <v/>
      </c>
      <c r="CB19" s="28" t="str">
        <f>IF([1]Data!$B$3="h",IF(AND([1]Data!$B$4=$BN19,$BO19=$B$15),IF([1]Data!$B$5="ms2",BU19,""),""),"")</f>
        <v/>
      </c>
      <c r="CC19" s="28" t="str">
        <f>IF([1]Data!$B$3="h",IF(AND([1]Data!$B$4=$BN19,$BO19=$B$15),IF([1]Data!$B$5="ms4",BV19,""),""),"")</f>
        <v/>
      </c>
      <c r="CD19" s="28"/>
    </row>
    <row r="20" spans="1:82" s="24" customFormat="1" ht="19.5" customHeight="1">
      <c r="A20" s="84" t="s">
        <v>110</v>
      </c>
      <c r="B20" s="115" t="str">
        <f>IF([1]Data!D30="","",[1]Data!D30)</f>
        <v>Polyurethane</v>
      </c>
      <c r="C20" s="130" t="str">
        <f>IF([1]Data!I16="","",CONCATENATE("Push @ ",[1]Data!I16," PSI"))</f>
        <v>Push @ 3000 PSI</v>
      </c>
      <c r="D20" s="131"/>
      <c r="E20" s="131"/>
      <c r="F20" s="139" t="str">
        <f>IF(C20="","",CONCATENATE([1]Data!I18," lbs"))</f>
        <v>58905 lbs</v>
      </c>
      <c r="G20" s="140"/>
      <c r="H20" s="123">
        <v>1</v>
      </c>
      <c r="I20" s="118" t="s">
        <v>9</v>
      </c>
      <c r="J20" s="124">
        <v>40</v>
      </c>
      <c r="K20" s="125">
        <v>160</v>
      </c>
      <c r="L20" s="125">
        <v>22</v>
      </c>
      <c r="M20" s="126"/>
      <c r="N20" s="24" t="str">
        <f t="shared" si="2"/>
        <v/>
      </c>
      <c r="O20" s="102" t="str">
        <f t="shared" si="3"/>
        <v/>
      </c>
      <c r="Q20" s="12">
        <v>4.5</v>
      </c>
      <c r="R20" s="12">
        <v>4.5</v>
      </c>
      <c r="S20" s="12">
        <v>2.25</v>
      </c>
      <c r="AA20" s="24" t="s">
        <v>110</v>
      </c>
      <c r="AB20" s="103" t="str">
        <f>IF([1]Data!AD30="","",[1]Data!AD30)</f>
        <v/>
      </c>
      <c r="AC20" s="135" t="str">
        <f>IF([1]Data!AI16="","",CONCATENATE("Push @ ",[1]Data!AI16," PSI"))</f>
        <v/>
      </c>
      <c r="AD20" s="136"/>
      <c r="AE20" s="136"/>
      <c r="AF20" s="141" t="str">
        <f>IF(AC20="","",CONCATENATE([1]Data!AI18," lbs"))</f>
        <v/>
      </c>
      <c r="AG20" s="142"/>
      <c r="AH20" s="12"/>
      <c r="AI20" s="12" t="str">
        <f>IF(AND(OR([1]Data!B$3="H",[1]Data!B$3="MH"),AJ20=$B$13),IF([1]Data!D$2=AK$11,AK20,AL20),"")</f>
        <v/>
      </c>
      <c r="AJ20" s="11">
        <v>8</v>
      </c>
      <c r="AK20" s="11">
        <v>24</v>
      </c>
      <c r="AL20" s="12">
        <v>1.25</v>
      </c>
      <c r="AM20" s="12">
        <v>9.5</v>
      </c>
      <c r="AN20" s="12">
        <v>3</v>
      </c>
      <c r="AO20" s="12">
        <v>3</v>
      </c>
      <c r="AP20" s="12">
        <v>9.5</v>
      </c>
      <c r="AQ20" s="12">
        <v>3</v>
      </c>
      <c r="AR20" s="12">
        <v>3</v>
      </c>
      <c r="AS20" s="12">
        <v>3.25</v>
      </c>
      <c r="AT20" s="12">
        <v>17</v>
      </c>
      <c r="AU20" s="12">
        <v>11</v>
      </c>
      <c r="AV20" s="12">
        <v>15.5</v>
      </c>
      <c r="AW20" s="12">
        <v>3</v>
      </c>
      <c r="AX20" s="12">
        <v>3</v>
      </c>
      <c r="AY20" s="10">
        <v>1</v>
      </c>
      <c r="AZ20" s="10" t="s">
        <v>111</v>
      </c>
      <c r="BA20" s="10">
        <v>4.5</v>
      </c>
      <c r="BB20" s="10">
        <v>7.5</v>
      </c>
      <c r="BC20" s="12"/>
      <c r="BD20" s="12"/>
      <c r="BE20" s="12">
        <v>1.5620000000000001</v>
      </c>
      <c r="BF20" s="12">
        <v>12.25</v>
      </c>
      <c r="BG20" s="12">
        <v>6.75</v>
      </c>
      <c r="BH20" s="12" t="s">
        <v>109</v>
      </c>
      <c r="BI20" s="12">
        <v>4.25</v>
      </c>
      <c r="BJ20" s="12">
        <v>6.625</v>
      </c>
      <c r="BK20" s="12">
        <v>1.31</v>
      </c>
      <c r="BL20" s="12">
        <v>11.8125</v>
      </c>
      <c r="BN20" s="28">
        <v>5</v>
      </c>
      <c r="BO20" s="28">
        <v>3.5</v>
      </c>
      <c r="BP20" s="28">
        <v>10.75</v>
      </c>
      <c r="BQ20" s="28">
        <v>11.63</v>
      </c>
      <c r="BR20" s="28">
        <v>3.25</v>
      </c>
      <c r="BS20" s="28">
        <v>10.75</v>
      </c>
      <c r="BT20" s="28">
        <v>7.625</v>
      </c>
      <c r="BU20" s="28">
        <v>3.125</v>
      </c>
      <c r="BV20" s="28">
        <v>3.25</v>
      </c>
      <c r="BW20" s="28" t="str">
        <f>IF([1]Data!$B$3="h",IF(AND([1]Data!$B$4=BN20,BO20=$B$15),IF(OR([1]Data!$B$5="mp1",[1]Data!$B$5="mp3"),BP20+$B$18,""),""),"")</f>
        <v/>
      </c>
      <c r="BX20" s="28" t="str">
        <f>IF([1]Data!$B$3="h",IF(AND([1]Data!$B$4=$BN20,$BO20=$B$15),IF([1]Data!$B$5="mp2",BQ20+$B$18,""),""),"")</f>
        <v/>
      </c>
      <c r="BY20" s="28" t="str">
        <f>IF([1]Data!$B$3="h",IF(AND([1]Data!$B$4=$BN20,$BO20=$B$15),IF([1]Data!$B$5="mt1",BR20,""),""),"")</f>
        <v/>
      </c>
      <c r="BZ20" s="28" t="str">
        <f>IF([1]Data!$B$3="h",IF(AND([1]Data!$B$4=$BN20,$BO20=$B$15),IF([1]Data!$B$5="mpu3",BS20+$B$18,""),""),"")</f>
        <v/>
      </c>
      <c r="CA20" s="28" t="str">
        <f>IF([1]Data!$B$3="h",IF(AND([1]Data!$B$4=$BN20,$BO20=$B$15),IF([1]Data!$B$5="mt2",BT20+$B$18,""),""),"")</f>
        <v/>
      </c>
      <c r="CB20" s="28" t="str">
        <f>IF([1]Data!$B$3="h",IF(AND([1]Data!$B$4=$BN20,$BO20=$B$15),IF([1]Data!$B$5="ms2",BU20,""),""),"")</f>
        <v/>
      </c>
      <c r="CC20" s="28" t="str">
        <f>IF([1]Data!$B$3="h",IF(AND([1]Data!$B$4=$BN20,$BO20=$B$15),IF([1]Data!$B$5="ms4",BV20,""),""),"")</f>
        <v/>
      </c>
      <c r="CD20" s="28"/>
    </row>
    <row r="21" spans="1:82" s="24" customFormat="1" ht="18" customHeight="1" thickBot="1">
      <c r="A21" s="143" t="s">
        <v>112</v>
      </c>
      <c r="B21" s="144"/>
      <c r="C21" s="130" t="str">
        <f>IF([1]Data!I16="","",CONCATENATE("Pull @ ",[1]Data!I16," PSI"))</f>
        <v>Pull @ 3000 PSI</v>
      </c>
      <c r="D21" s="131"/>
      <c r="E21" s="131"/>
      <c r="F21" s="139" t="str">
        <f>IF(C21="","",CONCATENATE([1]Data!I20," lbs"))</f>
        <v>49481 lbs</v>
      </c>
      <c r="G21" s="140"/>
      <c r="H21" s="123">
        <v>2</v>
      </c>
      <c r="I21" s="118" t="s">
        <v>107</v>
      </c>
      <c r="J21" s="124">
        <v>50</v>
      </c>
      <c r="K21" s="125">
        <v>20</v>
      </c>
      <c r="L21" s="125">
        <v>28</v>
      </c>
      <c r="M21" s="126"/>
      <c r="N21" s="24" t="str">
        <f t="shared" si="2"/>
        <v/>
      </c>
      <c r="O21" s="102" t="str">
        <f t="shared" si="3"/>
        <v/>
      </c>
      <c r="Q21" s="12">
        <v>5</v>
      </c>
      <c r="R21" s="12">
        <v>5</v>
      </c>
      <c r="S21" s="12">
        <v>2.25</v>
      </c>
      <c r="AA21" s="145" t="s">
        <v>112</v>
      </c>
      <c r="AB21" s="146"/>
      <c r="AC21" s="135" t="str">
        <f>IF([1]Data!AI16="","",CONCATENATE("Pull @ ",[1]Data!AI16," PSI"))</f>
        <v/>
      </c>
      <c r="AD21" s="136"/>
      <c r="AE21" s="136"/>
      <c r="AF21" s="141" t="str">
        <f>IF(AC21="","",CONCATENATE([1]Data!AI20," lbs"))</f>
        <v/>
      </c>
      <c r="AG21" s="142"/>
      <c r="AH21" s="12"/>
      <c r="AI21" s="12" t="str">
        <f>IF(AND(OR([1]Data!B$3="H",[1]Data!B$3="MH"),AJ21=$B$13),IF([1]Data!D$2=AK$11,AK21,AL21),"")</f>
        <v/>
      </c>
      <c r="AJ21" s="11">
        <v>10</v>
      </c>
      <c r="AK21" s="11">
        <v>24</v>
      </c>
      <c r="AL21" s="12">
        <v>2</v>
      </c>
      <c r="AM21" s="12">
        <v>12.625</v>
      </c>
      <c r="AN21" s="12">
        <v>3.6880000000000002</v>
      </c>
      <c r="AO21" s="12">
        <v>3.6880000000000002</v>
      </c>
      <c r="AP21" s="12">
        <v>12.125</v>
      </c>
      <c r="AQ21" s="12">
        <v>3.5</v>
      </c>
      <c r="AR21" s="12">
        <v>4</v>
      </c>
      <c r="AS21" s="12">
        <v>4</v>
      </c>
      <c r="AT21" s="12">
        <v>21</v>
      </c>
      <c r="AU21" s="12">
        <v>14</v>
      </c>
      <c r="AV21" s="12">
        <v>19.625</v>
      </c>
      <c r="AW21" s="12">
        <v>3.5</v>
      </c>
      <c r="AX21" s="12">
        <v>3.5</v>
      </c>
      <c r="AY21" s="12"/>
      <c r="AZ21" s="12"/>
      <c r="BA21" s="12"/>
      <c r="BB21" s="12">
        <v>9.89</v>
      </c>
      <c r="BC21" s="12"/>
      <c r="BD21" s="12"/>
      <c r="BE21" s="12">
        <v>1.5620000000000001</v>
      </c>
      <c r="BF21" s="12">
        <v>15.875</v>
      </c>
      <c r="BG21" s="12">
        <v>8.875</v>
      </c>
      <c r="BH21" s="12"/>
      <c r="BI21" s="12"/>
      <c r="BJ21" s="12"/>
      <c r="BK21" s="12">
        <v>1.3125</v>
      </c>
      <c r="BL21" s="12">
        <v>14.13</v>
      </c>
      <c r="BN21" s="28">
        <v>6</v>
      </c>
      <c r="BO21" s="28">
        <v>2.5</v>
      </c>
      <c r="BP21" s="28">
        <v>12.125</v>
      </c>
      <c r="BQ21" s="28">
        <v>13.125</v>
      </c>
      <c r="BR21" s="28">
        <v>3.375</v>
      </c>
      <c r="BS21" s="28">
        <v>12.125</v>
      </c>
      <c r="BT21" s="28">
        <v>8.375</v>
      </c>
      <c r="BU21" s="28">
        <v>3.375</v>
      </c>
      <c r="BV21" s="28">
        <v>3.3119999999999998</v>
      </c>
      <c r="BW21" s="28" t="str">
        <f>IF([1]Data!$B$3="h",IF(AND([1]Data!$B$4=BN21,BO21=$B$15),IF(OR([1]Data!$B$5="mp1",[1]Data!$B$5="mp3"),BP21+$B$18,""),""),"")</f>
        <v/>
      </c>
      <c r="BX21" s="28" t="str">
        <f>IF([1]Data!$B$3="h",IF(AND([1]Data!$B$4=$BN21,$BO21=$B$15),IF([1]Data!$B$5="mp2",BQ21+$B$18,""),""),"")</f>
        <v/>
      </c>
      <c r="BY21" s="28" t="str">
        <f>IF([1]Data!$B$3="h",IF(AND([1]Data!$B$4=$BN21,$BO21=$B$15),IF([1]Data!$B$5="mt1",BR21,""),""),"")</f>
        <v/>
      </c>
      <c r="BZ21" s="28" t="str">
        <f>IF([1]Data!$B$3="h",IF(AND([1]Data!$B$4=$BN21,$BO21=$B$15),IF([1]Data!$B$5="mpu3",BS21+$B$18,""),""),"")</f>
        <v/>
      </c>
      <c r="CA21" s="28" t="str">
        <f>IF([1]Data!$B$3="h",IF(AND([1]Data!$B$4=$BN21,$BO21=$B$15),IF([1]Data!$B$5="mt2",BT21+$B$18,""),""),"")</f>
        <v/>
      </c>
      <c r="CB21" s="28" t="str">
        <f>IF([1]Data!$B$3="h",IF(AND([1]Data!$B$4=$BN21,$BO21=$B$15),IF([1]Data!$B$5="ms2",BU21,""),""),"")</f>
        <v/>
      </c>
      <c r="CC21" s="28" t="str">
        <f>IF([1]Data!$B$3="h",IF(AND([1]Data!$B$4=$BN21,$BO21=$B$15),IF([1]Data!$B$5="ms4",BV21,""),""),"")</f>
        <v/>
      </c>
      <c r="CD21" s="28"/>
    </row>
    <row r="22" spans="1:82" s="24" customFormat="1" ht="21.75" customHeight="1" thickTop="1">
      <c r="A22" s="147"/>
      <c r="B22" s="148"/>
      <c r="C22" s="149"/>
      <c r="D22" s="150"/>
      <c r="E22" s="150"/>
      <c r="F22" s="150"/>
      <c r="G22" s="151"/>
      <c r="H22" s="123">
        <v>1</v>
      </c>
      <c r="I22" s="119" t="s">
        <v>101</v>
      </c>
      <c r="J22" s="124">
        <v>50</v>
      </c>
      <c r="K22" s="152">
        <v>210</v>
      </c>
      <c r="L22" s="125">
        <v>28</v>
      </c>
      <c r="M22" s="126"/>
      <c r="N22" s="24" t="str">
        <f t="shared" si="2"/>
        <v/>
      </c>
      <c r="O22" s="102" t="str">
        <f t="shared" si="3"/>
        <v/>
      </c>
      <c r="Q22" s="12">
        <v>5.5</v>
      </c>
      <c r="R22" s="12">
        <v>5.5</v>
      </c>
      <c r="S22" s="12">
        <v>2.25</v>
      </c>
      <c r="AA22" s="153"/>
      <c r="AB22" s="153"/>
      <c r="AC22" s="154"/>
      <c r="AD22" s="155"/>
      <c r="AE22" s="155"/>
      <c r="AF22" s="155"/>
      <c r="AG22" s="156"/>
      <c r="AH22" s="12"/>
      <c r="AI22" s="12" t="str">
        <f>IF(AND(OR([1]Data!B$3="H",[1]Data!B$3="MH"),AJ22=$B$13),IF([1]Data!D$2=AK$11,AK22,AL22),"")</f>
        <v/>
      </c>
      <c r="AJ22" s="11">
        <v>12</v>
      </c>
      <c r="AK22" s="11">
        <v>24</v>
      </c>
      <c r="AL22" s="12">
        <v>2.5</v>
      </c>
      <c r="AM22" s="12">
        <v>14.875</v>
      </c>
      <c r="AN22" s="12">
        <v>4.4379999999999997</v>
      </c>
      <c r="AO22" s="12">
        <v>4.4379999999999997</v>
      </c>
      <c r="AP22" s="12">
        <v>14.5</v>
      </c>
      <c r="AQ22" s="12">
        <v>4</v>
      </c>
      <c r="AR22" s="12">
        <v>4.5</v>
      </c>
      <c r="AS22" s="12">
        <v>4.5</v>
      </c>
      <c r="AT22" s="12">
        <v>24.5</v>
      </c>
      <c r="AU22" s="12">
        <v>16.5</v>
      </c>
      <c r="AV22" s="12">
        <v>22.875</v>
      </c>
      <c r="AW22" s="12">
        <v>4</v>
      </c>
      <c r="AX22" s="12">
        <v>4</v>
      </c>
      <c r="AY22" s="12"/>
      <c r="AZ22" s="12"/>
      <c r="BA22" s="12"/>
      <c r="BB22" s="12">
        <v>11.75</v>
      </c>
      <c r="BC22" s="12"/>
      <c r="BD22" s="12"/>
      <c r="BE22" s="12">
        <v>1.5620000000000001</v>
      </c>
      <c r="BF22" s="12">
        <v>18.875</v>
      </c>
      <c r="BG22" s="12">
        <v>10.5</v>
      </c>
      <c r="BH22" s="12"/>
      <c r="BI22" s="12"/>
      <c r="BJ22" s="12"/>
      <c r="BK22" s="12">
        <v>1.5625</v>
      </c>
      <c r="BL22" s="12">
        <v>16.79</v>
      </c>
      <c r="BN22" s="28">
        <v>6</v>
      </c>
      <c r="BO22" s="28">
        <v>3</v>
      </c>
      <c r="BP22" s="28">
        <v>12.125</v>
      </c>
      <c r="BQ22" s="28">
        <v>13.125</v>
      </c>
      <c r="BR22" s="28">
        <v>3.375</v>
      </c>
      <c r="BS22" s="28">
        <v>12.125</v>
      </c>
      <c r="BT22" s="28">
        <v>8.375</v>
      </c>
      <c r="BU22" s="28">
        <v>3.375</v>
      </c>
      <c r="BV22" s="28">
        <v>3.3119999999999998</v>
      </c>
      <c r="BW22" s="28" t="str">
        <f>IF([1]Data!$B$3="h",IF(AND([1]Data!$B$4=BN22,BO22=$B$15),IF(OR([1]Data!$B$5="mp1",[1]Data!$B$5="mp3"),BP22+$B$18,""),""),"")</f>
        <v/>
      </c>
      <c r="BX22" s="28" t="str">
        <f>IF([1]Data!$B$3="h",IF(AND([1]Data!$B$4=$BN22,$BO22=$B$15),IF([1]Data!$B$5="mp2",BQ22+$B$18,""),""),"")</f>
        <v/>
      </c>
      <c r="BY22" s="28" t="str">
        <f>IF([1]Data!$B$3="h",IF(AND([1]Data!$B$4=$BN22,$BO22=$B$15),IF([1]Data!$B$5="mt1",BR22,""),""),"")</f>
        <v/>
      </c>
      <c r="BZ22" s="28" t="str">
        <f>IF([1]Data!$B$3="h",IF(AND([1]Data!$B$4=$BN22,$BO22=$B$15),IF([1]Data!$B$5="mpu3",BS22+$B$18,""),""),"")</f>
        <v/>
      </c>
      <c r="CA22" s="28" t="str">
        <f>IF([1]Data!$B$3="h",IF(AND([1]Data!$B$4=$BN22,$BO22=$B$15),IF([1]Data!$B$5="mt2",BT22+$B$18,""),""),"")</f>
        <v/>
      </c>
      <c r="CB22" s="28" t="str">
        <f>IF([1]Data!$B$3="h",IF(AND([1]Data!$B$4=$BN22,$BO22=$B$15),IF([1]Data!$B$5="ms2",BU22,""),""),"")</f>
        <v/>
      </c>
      <c r="CC22" s="28" t="str">
        <f>IF([1]Data!$B$3="h",IF(AND([1]Data!$B$4=$BN22,$BO22=$B$15),IF([1]Data!$B$5="ms4",BV22,""),""),"")</f>
        <v/>
      </c>
      <c r="CD22" s="28"/>
    </row>
    <row r="23" spans="1:82" ht="21.75" customHeight="1">
      <c r="A23" s="157"/>
      <c r="B23" s="158"/>
      <c r="C23" s="159"/>
      <c r="D23" s="160"/>
      <c r="E23" s="160"/>
      <c r="F23" s="160"/>
      <c r="G23" s="161"/>
      <c r="H23" s="162">
        <v>3</v>
      </c>
      <c r="I23" s="119" t="s">
        <v>107</v>
      </c>
      <c r="J23" s="124">
        <v>63</v>
      </c>
      <c r="K23" s="152">
        <v>180</v>
      </c>
      <c r="L23" s="125">
        <v>45</v>
      </c>
      <c r="M23" s="126"/>
      <c r="N23" s="8" t="str">
        <f t="shared" si="2"/>
        <v/>
      </c>
      <c r="O23" s="102" t="str">
        <f t="shared" si="3"/>
        <v/>
      </c>
      <c r="Q23" s="12">
        <v>7</v>
      </c>
      <c r="R23" s="12">
        <v>7</v>
      </c>
      <c r="S23" s="12">
        <v>3.5</v>
      </c>
      <c r="AA23" s="163"/>
      <c r="AB23" s="163"/>
      <c r="AC23" s="154"/>
      <c r="AD23" s="155"/>
      <c r="AE23" s="155"/>
      <c r="AF23" s="155"/>
      <c r="AG23" s="156"/>
      <c r="AI23" s="12" t="str">
        <f>IF(AND(OR([1]Data!B$3="H",[1]Data!B$3="MH"),AJ23=$B$13),IF([1]Data!D$2=AK$11,AK23,AL23),"")</f>
        <v/>
      </c>
      <c r="AJ23" s="11">
        <v>14</v>
      </c>
      <c r="AK23" s="11">
        <v>24</v>
      </c>
      <c r="AL23" s="12">
        <v>2.5</v>
      </c>
      <c r="AM23" s="12">
        <v>17.125</v>
      </c>
      <c r="AN23" s="12">
        <v>4.875</v>
      </c>
      <c r="AO23" s="12">
        <v>4.875</v>
      </c>
      <c r="AP23" s="12">
        <v>15.625</v>
      </c>
      <c r="AQ23" s="12">
        <v>5</v>
      </c>
      <c r="AR23" s="12">
        <v>6</v>
      </c>
      <c r="AS23" s="12">
        <v>5.75</v>
      </c>
      <c r="AT23" s="12">
        <v>28.5</v>
      </c>
      <c r="AU23" s="12">
        <v>19.5</v>
      </c>
      <c r="AV23" s="12">
        <v>26.125</v>
      </c>
      <c r="AW23" s="12">
        <v>4.5</v>
      </c>
      <c r="AX23" s="12">
        <v>4.5</v>
      </c>
      <c r="BB23" s="12">
        <v>12.9</v>
      </c>
      <c r="BE23" s="12">
        <v>2.3130000000000002</v>
      </c>
      <c r="BF23" s="12">
        <v>21.625</v>
      </c>
      <c r="BG23" s="12">
        <v>11.125</v>
      </c>
      <c r="BK23" s="12">
        <v>1.8</v>
      </c>
      <c r="BL23" s="12">
        <v>18.43</v>
      </c>
      <c r="BM23" s="8"/>
      <c r="BN23" s="28">
        <v>6</v>
      </c>
      <c r="BO23" s="5">
        <v>3.5</v>
      </c>
      <c r="BP23" s="5">
        <v>12.125</v>
      </c>
      <c r="BQ23" s="5">
        <v>13.125</v>
      </c>
      <c r="BR23" s="5">
        <v>3.375</v>
      </c>
      <c r="BS23" s="5">
        <v>12.125</v>
      </c>
      <c r="BT23" s="5">
        <v>8.375</v>
      </c>
      <c r="BU23" s="5">
        <v>3.375</v>
      </c>
      <c r="BV23" s="5">
        <v>3.3119999999999998</v>
      </c>
      <c r="BW23" s="5" t="str">
        <f>IF([1]Data!$B$3="h",IF(AND([1]Data!$B$4=BN23,BO23=$B$15),IF(OR([1]Data!$B$5="mp1",[1]Data!$B$5="mp3"),BP23+$B$18,""),""),"")</f>
        <v/>
      </c>
      <c r="BX23" s="5" t="str">
        <f>IF([1]Data!$B$3="h",IF(AND([1]Data!$B$4=$BN23,$BO23=$B$15),IF([1]Data!$B$5="mp2",BQ23+$B$18,""),""),"")</f>
        <v/>
      </c>
      <c r="BY23" s="5" t="str">
        <f>IF([1]Data!$B$3="h",IF(AND([1]Data!$B$4=$BN23,$BO23=$B$15),IF([1]Data!$B$5="mt1",BR23,""),""),"")</f>
        <v/>
      </c>
      <c r="BZ23" s="5" t="str">
        <f>IF([1]Data!$B$3="h",IF(AND([1]Data!$B$4=$BN23,$BO23=$B$15),IF([1]Data!$B$5="mpu3",BS23+$B$18,""),""),"")</f>
        <v/>
      </c>
      <c r="CA23" s="5" t="str">
        <f>IF([1]Data!$B$3="h",IF(AND([1]Data!$B$4=$BN23,$BO23=$B$15),IF([1]Data!$B$5="mt2",BT23+$B$18,""),""),"")</f>
        <v/>
      </c>
      <c r="CB23" s="28" t="str">
        <f>IF([1]Data!$B$3="h",IF(AND([1]Data!$B$4=$BN23,$BO23=$B$15),IF([1]Data!$B$5="ms2",BU23,""),""),"")</f>
        <v/>
      </c>
      <c r="CC23" s="5" t="str">
        <f>IF([1]Data!$B$3="h",IF(AND([1]Data!$B$4=$BN23,$BO23=$B$15),IF([1]Data!$B$5="ms4",BV23,""),""),"")</f>
        <v/>
      </c>
    </row>
    <row r="24" spans="1:82" ht="21.75" customHeight="1">
      <c r="A24" s="157"/>
      <c r="B24" s="158"/>
      <c r="C24" s="159"/>
      <c r="D24" s="160"/>
      <c r="E24" s="160"/>
      <c r="F24" s="160"/>
      <c r="G24" s="161"/>
      <c r="H24" s="162">
        <v>4</v>
      </c>
      <c r="I24" s="119" t="s">
        <v>113</v>
      </c>
      <c r="J24" s="124">
        <v>63</v>
      </c>
      <c r="K24" s="152">
        <v>830</v>
      </c>
      <c r="L24" s="125">
        <v>45</v>
      </c>
      <c r="M24" s="126"/>
      <c r="N24" s="8" t="str">
        <f t="shared" si="2"/>
        <v/>
      </c>
      <c r="O24" s="102" t="str">
        <f t="shared" si="3"/>
        <v/>
      </c>
      <c r="Q24" s="12">
        <v>8</v>
      </c>
      <c r="R24" s="12">
        <v>8</v>
      </c>
      <c r="S24" s="12">
        <v>4.25</v>
      </c>
      <c r="AA24" s="163"/>
      <c r="AB24" s="163"/>
      <c r="AC24" s="154"/>
      <c r="AD24" s="155"/>
      <c r="AE24" s="155"/>
      <c r="AF24" s="155"/>
      <c r="AG24" s="156"/>
      <c r="AI24" s="12" t="str">
        <f>IF(AND(OR([1]Data!B$3="H",[1]Data!B$3="MH"),AJ24=$B$13),IF([1]Data!D$2=AK$11,AK24,AL24),"")</f>
        <v/>
      </c>
      <c r="AJ24" s="11">
        <v>16</v>
      </c>
      <c r="AK24" s="11">
        <v>24</v>
      </c>
      <c r="AL24" s="12">
        <v>3</v>
      </c>
      <c r="AM24" s="12">
        <v>19.25</v>
      </c>
      <c r="AN24" s="12">
        <v>5.875</v>
      </c>
      <c r="AO24" s="12">
        <v>5.875</v>
      </c>
      <c r="AP24" s="12">
        <v>18.125</v>
      </c>
      <c r="AQ24" s="12">
        <v>6</v>
      </c>
      <c r="AR24" s="12">
        <v>7</v>
      </c>
      <c r="AS24" s="12">
        <v>7</v>
      </c>
      <c r="BB24" s="12">
        <v>15.28</v>
      </c>
      <c r="BE24" s="12">
        <v>2.5630000000000002</v>
      </c>
      <c r="BF24" s="12">
        <v>24.25</v>
      </c>
      <c r="BG24" s="12">
        <v>12.625</v>
      </c>
      <c r="BK24" s="12">
        <v>1.8125</v>
      </c>
      <c r="BL24" s="12">
        <v>21.03</v>
      </c>
      <c r="BM24" s="8"/>
      <c r="BN24" s="28">
        <v>6</v>
      </c>
      <c r="BO24" s="5">
        <v>4</v>
      </c>
      <c r="BP24" s="5">
        <v>12.125</v>
      </c>
      <c r="BQ24" s="5">
        <v>13.125</v>
      </c>
      <c r="BR24" s="5">
        <v>3.375</v>
      </c>
      <c r="BS24" s="5">
        <v>12.125</v>
      </c>
      <c r="BT24" s="5">
        <v>8.375</v>
      </c>
      <c r="BU24" s="5">
        <v>3.375</v>
      </c>
      <c r="BV24" s="5">
        <v>3.3119999999999998</v>
      </c>
      <c r="BW24" s="5" t="str">
        <f>IF([1]Data!$B$3="h",IF(AND([1]Data!$B$4=BN24,BO24=$B$15),IF(OR([1]Data!$B$5="mp1",[1]Data!$B$5="mp3"),BP24+$B$18,""),""),"")</f>
        <v/>
      </c>
      <c r="BX24" s="5" t="str">
        <f>IF([1]Data!$B$3="h",IF(AND([1]Data!$B$4=$BN24,$BO24=$B$15),IF([1]Data!$B$5="mp2",BQ24+$B$18,""),""),"")</f>
        <v/>
      </c>
      <c r="BY24" s="5" t="str">
        <f>IF([1]Data!$B$3="h",IF(AND([1]Data!$B$4=$BN24,$BO24=$B$15),IF([1]Data!$B$5="mt1",BR24,""),""),"")</f>
        <v/>
      </c>
      <c r="BZ24" s="5" t="str">
        <f>IF([1]Data!$B$3="h",IF(AND([1]Data!$B$4=$BN24,$BO24=$B$15),IF([1]Data!$B$5="mpu3",BS24+$B$18,""),""),"")</f>
        <v/>
      </c>
      <c r="CA24" s="5" t="str">
        <f>IF([1]Data!$B$3="h",IF(AND([1]Data!$B$4=$BN24,$BO24=$B$15),IF([1]Data!$B$5="mt2",BT24+$B$18,""),""),"")</f>
        <v/>
      </c>
      <c r="CB24" s="28" t="str">
        <f>IF([1]Data!$B$3="h",IF(AND([1]Data!$B$4=$BN24,$BO24=$B$15),IF([1]Data!$B$5="ms2",BU24,""),""),"")</f>
        <v/>
      </c>
      <c r="CC24" s="5" t="str">
        <f>IF([1]Data!$B$3="h",IF(AND([1]Data!$B$4=$BN24,$BO24=$B$15),IF([1]Data!$B$5="ms4",BV24,""),""),"")</f>
        <v/>
      </c>
    </row>
    <row r="25" spans="1:82" ht="18" customHeight="1">
      <c r="A25" s="147"/>
      <c r="B25" s="27"/>
      <c r="C25" s="159"/>
      <c r="D25" s="160"/>
      <c r="E25" s="160"/>
      <c r="F25" s="160"/>
      <c r="G25" s="161"/>
      <c r="H25" s="162">
        <v>1</v>
      </c>
      <c r="I25" s="119" t="s">
        <v>101</v>
      </c>
      <c r="J25" s="124">
        <v>63</v>
      </c>
      <c r="K25" s="125">
        <v>380</v>
      </c>
      <c r="L25" s="125">
        <v>36</v>
      </c>
      <c r="M25" s="126"/>
      <c r="N25" s="8" t="str">
        <f t="shared" si="2"/>
        <v/>
      </c>
      <c r="O25" s="102" t="str">
        <f t="shared" si="3"/>
        <v/>
      </c>
      <c r="Q25" s="12">
        <v>10</v>
      </c>
      <c r="R25" s="12">
        <v>10</v>
      </c>
      <c r="S25" s="12">
        <v>4.5</v>
      </c>
      <c r="AA25" s="163"/>
      <c r="AB25" s="163"/>
      <c r="AC25" s="154"/>
      <c r="AD25" s="155"/>
      <c r="AE25" s="155"/>
      <c r="AF25" s="155"/>
      <c r="AG25" s="156"/>
      <c r="AI25" s="12" t="str">
        <f>IF(AND(OR([1]Data!B$3="H",[1]Data!B$3="MH"),AJ25=$B$13),IF([1]Data!D$2=AK$11,AK25,AL25),"")</f>
        <v/>
      </c>
      <c r="AJ25" s="11">
        <v>18</v>
      </c>
      <c r="AK25" s="11">
        <v>24</v>
      </c>
      <c r="AL25" s="12">
        <v>3</v>
      </c>
      <c r="AM25" s="12">
        <v>22</v>
      </c>
      <c r="AN25" s="12">
        <v>6.875</v>
      </c>
      <c r="AO25" s="12">
        <v>6.875</v>
      </c>
      <c r="AP25" s="12">
        <v>21.125</v>
      </c>
      <c r="AQ25" s="12">
        <v>6.5</v>
      </c>
      <c r="AR25" s="12">
        <v>8</v>
      </c>
      <c r="AS25" s="12">
        <v>7.625</v>
      </c>
      <c r="BB25" s="12">
        <v>16.45</v>
      </c>
      <c r="BE25" s="12">
        <v>2.8130000000000002</v>
      </c>
      <c r="BF25" s="12">
        <v>27.5</v>
      </c>
      <c r="BG25" s="12">
        <v>14.625</v>
      </c>
      <c r="BK25" s="12">
        <v>2.0625</v>
      </c>
      <c r="BL25" s="12">
        <v>22.65</v>
      </c>
      <c r="BM25" s="8"/>
      <c r="BN25" s="5">
        <v>7</v>
      </c>
      <c r="BO25" s="5">
        <v>3</v>
      </c>
      <c r="BP25" s="5">
        <v>13.75</v>
      </c>
      <c r="BQ25" s="5">
        <v>14.75</v>
      </c>
      <c r="BR25" s="5">
        <v>3.625</v>
      </c>
      <c r="BT25" s="5">
        <v>9.375</v>
      </c>
      <c r="BU25" s="5">
        <v>3.625</v>
      </c>
      <c r="BV25" s="5">
        <v>3.8130000000000002</v>
      </c>
      <c r="BW25" s="5" t="str">
        <f>IF([1]Data!$B$3="h",IF(AND([1]Data!$B$4=BN25,BO25=$B$15),IF(OR([1]Data!$B$5="mp1",[1]Data!$B$5="mp3"),BP25+$B$18,""),""),"")</f>
        <v/>
      </c>
      <c r="BX25" s="5" t="str">
        <f>IF([1]Data!$B$3="h",IF(AND([1]Data!$B$4=$BN25,$BO25=$B$15),IF([1]Data!$B$5="mp2",BQ25+$B$18,""),""),"")</f>
        <v/>
      </c>
      <c r="BY25" s="5" t="str">
        <f>IF([1]Data!$B$3="h",IF(AND([1]Data!$B$4=$BN25,$BO25=$B$15),IF([1]Data!$B$5="mt1",BR25,""),""),"")</f>
        <v/>
      </c>
      <c r="BZ25" s="5" t="str">
        <f>IF([1]Data!$B$3="h",IF(AND([1]Data!$B$4=$BN25,$BO25=$B$15),IF([1]Data!$B$5="mpu3",BS25+$B$18,""),""),"")</f>
        <v/>
      </c>
      <c r="CA25" s="5" t="str">
        <f>IF([1]Data!$B$3="h",IF(AND([1]Data!$B$4=$BN25,$BO25=$B$15),IF([1]Data!$B$5="mt2",BT25+$B$18,""),""),"")</f>
        <v/>
      </c>
      <c r="CB25" s="28" t="str">
        <f>IF([1]Data!$B$3="h",IF(AND([1]Data!$B$4=$BN25,$BO25=$B$15),IF([1]Data!$B$5="ms2",BU25,""),""),"")</f>
        <v/>
      </c>
      <c r="CC25" s="5" t="str">
        <f>IF([1]Data!$B$3="h",IF(AND([1]Data!$B$4=$BN25,$BO25=$B$15),IF([1]Data!$B$5="ms4",BV25,""),""),"")</f>
        <v/>
      </c>
    </row>
    <row r="26" spans="1:82" ht="15.5">
      <c r="A26" s="157"/>
      <c r="B26" s="27"/>
      <c r="C26" s="159"/>
      <c r="D26" s="160"/>
      <c r="E26" s="160"/>
      <c r="F26" s="160"/>
      <c r="G26" s="161"/>
      <c r="H26" s="162">
        <v>1</v>
      </c>
      <c r="I26" s="119" t="s">
        <v>113</v>
      </c>
      <c r="J26" s="124">
        <v>63</v>
      </c>
      <c r="K26" s="125">
        <v>230</v>
      </c>
      <c r="L26" s="125">
        <v>45</v>
      </c>
      <c r="M26" s="126"/>
      <c r="N26" s="8" t="str">
        <f t="shared" si="2"/>
        <v/>
      </c>
      <c r="O26" s="102" t="str">
        <f t="shared" si="3"/>
        <v/>
      </c>
      <c r="AA26" s="163"/>
      <c r="AB26" s="163"/>
      <c r="AC26" s="154"/>
      <c r="AD26" s="155"/>
      <c r="AE26" s="155"/>
      <c r="AF26" s="155"/>
      <c r="AG26" s="156"/>
      <c r="AI26" s="12" t="str">
        <f>IF(AND(OR([1]Data!B$3="H",[1]Data!B$3="MH"),AJ26=$B$13),IF([1]Data!D$2=AK$11,AK26,AL26),"")</f>
        <v/>
      </c>
      <c r="AJ26" s="11">
        <v>20</v>
      </c>
      <c r="AK26" s="11">
        <v>24</v>
      </c>
      <c r="AL26" s="12">
        <v>3</v>
      </c>
      <c r="AM26" s="12">
        <v>23.625</v>
      </c>
      <c r="AN26" s="12">
        <v>7.875</v>
      </c>
      <c r="AO26" s="12">
        <v>7.875</v>
      </c>
      <c r="AP26" s="12">
        <v>23.625</v>
      </c>
      <c r="AQ26" s="12">
        <v>7.5</v>
      </c>
      <c r="AR26" s="12">
        <v>9</v>
      </c>
      <c r="AS26" s="12">
        <v>8.75</v>
      </c>
      <c r="BB26" s="12">
        <v>18.07</v>
      </c>
      <c r="BE26" s="12">
        <v>3.0630000000000002</v>
      </c>
      <c r="BF26" s="12">
        <v>30.125</v>
      </c>
      <c r="BG26" s="12">
        <v>15.875</v>
      </c>
      <c r="BK26" s="12">
        <v>2.0625</v>
      </c>
      <c r="BL26" s="12">
        <v>24.87</v>
      </c>
      <c r="BM26" s="8"/>
      <c r="BN26" s="5">
        <v>7</v>
      </c>
      <c r="BO26" s="5">
        <v>3.5</v>
      </c>
      <c r="BP26" s="5">
        <v>13.75</v>
      </c>
      <c r="BQ26" s="5">
        <v>14.75</v>
      </c>
      <c r="BR26" s="5">
        <v>3.625</v>
      </c>
      <c r="BT26" s="5">
        <v>9.375</v>
      </c>
      <c r="BU26" s="5">
        <v>3.625</v>
      </c>
      <c r="BV26" s="5">
        <v>3.8130000000000002</v>
      </c>
      <c r="BW26" s="5" t="str">
        <f>IF([1]Data!$B$3="h",IF(AND([1]Data!$B$4=BN26,BO26=$B$15),IF(OR([1]Data!$B$5="mp1",[1]Data!$B$5="mp3"),BP26+$B$18,""),""),"")</f>
        <v/>
      </c>
      <c r="BX26" s="5" t="str">
        <f>IF([1]Data!$B$3="h",IF(AND([1]Data!$B$4=$BN26,$BO26=$B$15),IF([1]Data!$B$5="mp2",BQ26+$B$18,""),""),"")</f>
        <v/>
      </c>
      <c r="BY26" s="5" t="str">
        <f>IF([1]Data!$B$3="h",IF(AND([1]Data!$B$4=$BN26,$BO26=$B$15),IF([1]Data!$B$5="mt1",BR26,""),""),"")</f>
        <v/>
      </c>
      <c r="BZ26" s="5" t="str">
        <f>IF([1]Data!$B$3="h",IF(AND([1]Data!$B$4=$BN26,$BO26=$B$15),IF([1]Data!$B$5="mpu3",BS26+$B$18,""),""),"")</f>
        <v/>
      </c>
      <c r="CA26" s="5" t="str">
        <f>IF([1]Data!$B$3="h",IF(AND([1]Data!$B$4=$BN26,$BO26=$B$15),IF([1]Data!$B$5="mt2",BT26+$B$18,""),""),"")</f>
        <v/>
      </c>
      <c r="CB26" s="28" t="str">
        <f>IF([1]Data!$B$3="h",IF(AND([1]Data!$B$4=$BN26,$BO26=$B$15),IF([1]Data!$B$5="ms2",BU26,""),""),"")</f>
        <v/>
      </c>
      <c r="CC26" s="5" t="str">
        <f>IF([1]Data!$B$3="h",IF(AND([1]Data!$B$4=$BN26,$BO26=$B$15),IF([1]Data!$B$5="ms4",BV26,""),""),"")</f>
        <v/>
      </c>
    </row>
    <row r="27" spans="1:82" ht="15.5">
      <c r="A27" s="147"/>
      <c r="B27" s="27"/>
      <c r="C27" s="159"/>
      <c r="D27" s="160"/>
      <c r="E27" s="160"/>
      <c r="F27" s="160"/>
      <c r="G27" s="161"/>
      <c r="H27" s="162">
        <v>2</v>
      </c>
      <c r="I27" s="119" t="s">
        <v>101</v>
      </c>
      <c r="J27" s="124">
        <v>80</v>
      </c>
      <c r="K27" s="164">
        <v>485</v>
      </c>
      <c r="L27" s="164">
        <v>56</v>
      </c>
      <c r="M27" s="126"/>
      <c r="N27" s="8" t="str">
        <f t="shared" si="2"/>
        <v/>
      </c>
      <c r="O27" s="102" t="str">
        <f t="shared" si="3"/>
        <v/>
      </c>
      <c r="AA27" s="163"/>
      <c r="AB27" s="163"/>
      <c r="AC27" s="154"/>
      <c r="AD27" s="155"/>
      <c r="AE27" s="155"/>
      <c r="AF27" s="155"/>
      <c r="AG27" s="156"/>
      <c r="AJ27" s="11" t="s">
        <v>46</v>
      </c>
      <c r="BM27" s="8"/>
      <c r="BN27" s="5">
        <v>7</v>
      </c>
      <c r="BO27" s="5">
        <v>4</v>
      </c>
      <c r="BP27" s="5">
        <v>13.75</v>
      </c>
      <c r="BQ27" s="5">
        <v>14.75</v>
      </c>
      <c r="BR27" s="5">
        <v>3.625</v>
      </c>
      <c r="BT27" s="5">
        <v>9.375</v>
      </c>
      <c r="BU27" s="5">
        <v>3.625</v>
      </c>
      <c r="BV27" s="5">
        <v>3.8130000000000002</v>
      </c>
      <c r="BW27" s="5" t="str">
        <f>IF([1]Data!$B$3="h",IF(AND([1]Data!$B$4=BN27,BO27=$B$15),IF(OR([1]Data!$B$5="mp1",[1]Data!$B$5="mp3"),BP27+$B$18,""),""),"")</f>
        <v/>
      </c>
      <c r="BX27" s="5" t="str">
        <f>IF([1]Data!$B$3="h",IF(AND([1]Data!$B$4=$BN27,$BO27=$B$15),IF([1]Data!$B$5="mp2",BQ27+$B$18,""),""),"")</f>
        <v/>
      </c>
      <c r="BY27" s="5" t="str">
        <f>IF([1]Data!$B$3="h",IF(AND([1]Data!$B$4=$BN27,$BO27=$B$15),IF([1]Data!$B$5="mt1",BR27,""),""),"")</f>
        <v/>
      </c>
      <c r="BZ27" s="5" t="str">
        <f>IF([1]Data!$B$3="h",IF(AND([1]Data!$B$4=$BN27,$BO27=$B$15),IF([1]Data!$B$5="mpu3",BS27+$B$18,""),""),"")</f>
        <v/>
      </c>
      <c r="CA27" s="5" t="str">
        <f>IF([1]Data!$B$3="h",IF(AND([1]Data!$B$4=$BN27,$BO27=$B$15),IF([1]Data!$B$5="mt2",BT27+$B$18,""),""),"")</f>
        <v/>
      </c>
      <c r="CB27" s="28" t="str">
        <f>IF([1]Data!$B$3="h",IF(AND([1]Data!$B$4=$BN27,$BO27=$B$15),IF([1]Data!$B$5="ms2",BU27,""),""),"")</f>
        <v/>
      </c>
      <c r="CC27" s="5" t="str">
        <f>IF([1]Data!$B$3="h",IF(AND([1]Data!$B$4=$BN27,$BO27=$B$15),IF([1]Data!$B$5="ms4",BV27,""),""),"")</f>
        <v/>
      </c>
    </row>
    <row r="28" spans="1:82" ht="16" thickBot="1">
      <c r="A28" s="147"/>
      <c r="B28" s="27"/>
      <c r="C28" s="159"/>
      <c r="D28" s="160"/>
      <c r="E28" s="160"/>
      <c r="F28" s="160"/>
      <c r="G28" s="161"/>
      <c r="H28" s="165">
        <v>3</v>
      </c>
      <c r="I28" s="166" t="s">
        <v>107</v>
      </c>
      <c r="J28" s="124">
        <v>80</v>
      </c>
      <c r="K28" s="164">
        <v>15</v>
      </c>
      <c r="L28" s="164">
        <v>56</v>
      </c>
      <c r="M28" s="126"/>
      <c r="N28" s="8" t="str">
        <f t="shared" si="2"/>
        <v/>
      </c>
      <c r="O28" s="102" t="str">
        <f t="shared" si="3"/>
        <v/>
      </c>
      <c r="AA28" s="163"/>
      <c r="AB28" s="163"/>
      <c r="AC28" s="154"/>
      <c r="AD28" s="155"/>
      <c r="AE28" s="155"/>
      <c r="AF28" s="155"/>
      <c r="AG28" s="156"/>
      <c r="AJ28" s="11" t="s">
        <v>16</v>
      </c>
      <c r="AK28" s="11" t="s">
        <v>114</v>
      </c>
      <c r="AL28" s="12" t="s">
        <v>115</v>
      </c>
      <c r="AM28" s="12" t="s">
        <v>53</v>
      </c>
      <c r="AN28" s="12" t="s">
        <v>54</v>
      </c>
      <c r="AO28" s="12" t="s">
        <v>55</v>
      </c>
      <c r="AP28" s="12" t="s">
        <v>56</v>
      </c>
      <c r="AQ28" s="12" t="s">
        <v>57</v>
      </c>
      <c r="AR28" s="12" t="s">
        <v>58</v>
      </c>
      <c r="AS28" s="12" t="s">
        <v>59</v>
      </c>
      <c r="AT28" s="12" t="s">
        <v>60</v>
      </c>
      <c r="AU28" s="12" t="s">
        <v>61</v>
      </c>
      <c r="AV28" s="12" t="s">
        <v>62</v>
      </c>
      <c r="AW28" s="12" t="s">
        <v>63</v>
      </c>
      <c r="AX28" s="12" t="s">
        <v>64</v>
      </c>
      <c r="AY28" s="12" t="s">
        <v>116</v>
      </c>
      <c r="AZ28" s="12" t="s">
        <v>65</v>
      </c>
      <c r="BA28" s="12" t="s">
        <v>66</v>
      </c>
      <c r="BB28" s="12" t="s">
        <v>67</v>
      </c>
      <c r="BC28" s="12" t="s">
        <v>68</v>
      </c>
      <c r="BD28" s="12" t="s">
        <v>69</v>
      </c>
      <c r="BE28" s="12" t="s">
        <v>70</v>
      </c>
      <c r="BF28" s="12" t="s">
        <v>71</v>
      </c>
      <c r="BG28" s="12" t="s">
        <v>117</v>
      </c>
      <c r="BH28" s="12" t="s">
        <v>73</v>
      </c>
      <c r="BI28" s="12" t="s">
        <v>74</v>
      </c>
      <c r="BJ28" s="12" t="s">
        <v>118</v>
      </c>
      <c r="BK28" s="12" t="s">
        <v>76</v>
      </c>
      <c r="BL28" s="12" t="s">
        <v>77</v>
      </c>
      <c r="BM28" s="8"/>
      <c r="BN28" s="5">
        <v>7</v>
      </c>
      <c r="BO28" s="5">
        <v>4.5</v>
      </c>
      <c r="BP28" s="5">
        <v>13.75</v>
      </c>
      <c r="BQ28" s="5">
        <v>14.75</v>
      </c>
      <c r="BR28" s="5">
        <v>3.625</v>
      </c>
      <c r="BT28" s="5">
        <v>9.375</v>
      </c>
      <c r="BU28" s="5">
        <v>3.625</v>
      </c>
      <c r="BV28" s="5">
        <v>3.8130000000000002</v>
      </c>
      <c r="BW28" s="5" t="str">
        <f>IF([1]Data!$B$3="h",IF(AND([1]Data!$B$4=BN28,BO28=$B$15),IF(OR([1]Data!$B$5="mp1",[1]Data!$B$5="mp3"),BP28+$B$18,""),""),"")</f>
        <v/>
      </c>
      <c r="BX28" s="5" t="str">
        <f>IF([1]Data!$B$3="h",IF(AND([1]Data!$B$4=$BN28,$BO28=$B$15),IF([1]Data!$B$5="mp2",BQ28+$B$18,""),""),"")</f>
        <v/>
      </c>
      <c r="BY28" s="5" t="str">
        <f>IF([1]Data!$B$3="h",IF(AND([1]Data!$B$4=$BN28,$BO28=$B$15),IF([1]Data!$B$5="mt1",BR28,""),""),"")</f>
        <v/>
      </c>
      <c r="BZ28" s="5" t="str">
        <f>IF([1]Data!$B$3="h",IF(AND([1]Data!$B$4=$BN28,$BO28=$B$15),IF([1]Data!$B$5="mpu3",BS28+$B$18,""),""),"")</f>
        <v/>
      </c>
      <c r="CA28" s="5" t="str">
        <f>IF([1]Data!$B$3="h",IF(AND([1]Data!$B$4=$BN28,$BO28=$B$15),IF([1]Data!$B$5="mt2",BT28+$B$18,""),""),"")</f>
        <v/>
      </c>
      <c r="CB28" s="28" t="str">
        <f>IF([1]Data!$B$3="h",IF(AND([1]Data!$B$4=$BN28,$BO28=$B$15),IF([1]Data!$B$5="ms2",BU28,""),""),"")</f>
        <v/>
      </c>
      <c r="CC28" s="5" t="str">
        <f>IF([1]Data!$B$3="h",IF(AND([1]Data!$B$4=$BN28,$BO28=$B$15),IF([1]Data!$B$5="ms4",BV28,""),""),"")</f>
        <v/>
      </c>
    </row>
    <row r="29" spans="1:82" ht="18" customHeight="1" thickTop="1">
      <c r="A29" s="157"/>
      <c r="B29" s="27"/>
      <c r="C29" s="167" t="str">
        <f>IF(B$13="","",CONCATENATE("E = ",IF([1]Data!B$3="h",VLOOKUP([1]Data!B$4,AJ$12:AM$26,4),VLOOKUP([1]Data!B$4,AJ$29:AM$40,4)),""""))</f>
        <v>E = 6.5"</v>
      </c>
      <c r="D29" s="168"/>
      <c r="E29" s="169" t="s">
        <v>119</v>
      </c>
      <c r="F29" s="169"/>
      <c r="G29" s="170"/>
      <c r="H29" s="165">
        <v>2</v>
      </c>
      <c r="I29" s="166" t="s">
        <v>113</v>
      </c>
      <c r="J29" s="124">
        <v>80</v>
      </c>
      <c r="K29" s="164">
        <v>180</v>
      </c>
      <c r="L29" s="164">
        <v>56</v>
      </c>
      <c r="M29" s="126"/>
      <c r="N29" s="8" t="str">
        <f t="shared" si="2"/>
        <v/>
      </c>
      <c r="O29" s="102" t="str">
        <f t="shared" si="3"/>
        <v/>
      </c>
      <c r="AA29" s="163"/>
      <c r="AB29" s="163"/>
      <c r="AC29" s="171" t="str">
        <f>IF(AB$13="","",CONCATENATE("E = ",IF([1]Data!AB$3="h",VLOOKUP([1]Data!AB$4,BJ$12:BM$26,4),VLOOKUP([1]Data!AB$4,BJ$29:BM$40,4)),""""))</f>
        <v/>
      </c>
      <c r="AD29" s="172"/>
      <c r="AE29" s="173" t="s">
        <v>119</v>
      </c>
      <c r="AF29" s="173"/>
      <c r="AG29" s="174"/>
      <c r="AI29" s="12" t="str">
        <f>IF(AND(OR([1]Data!B$3="LH",[1]Data!B$3="A",[1]Data!B$3="VA"),AJ29=$B$13),IF(OR([1]Data!D$2=AL$11,[1]Data!D$2=AL$10),AK29,AL29),"")</f>
        <v/>
      </c>
      <c r="AJ29" s="11">
        <v>1.5</v>
      </c>
      <c r="AK29" s="11">
        <v>0.375</v>
      </c>
      <c r="AL29" s="12">
        <v>6</v>
      </c>
      <c r="AM29" s="12">
        <v>2</v>
      </c>
      <c r="AN29" s="12">
        <v>1.5</v>
      </c>
      <c r="AO29" s="12">
        <v>1</v>
      </c>
      <c r="AP29" s="12">
        <v>3.625</v>
      </c>
      <c r="AQ29" s="12">
        <v>0.5</v>
      </c>
      <c r="AR29" s="12">
        <v>0.75</v>
      </c>
      <c r="AS29" s="12">
        <v>0.75</v>
      </c>
      <c r="AT29" s="12">
        <v>4.5</v>
      </c>
      <c r="AU29" s="12">
        <v>2.5</v>
      </c>
      <c r="AV29" s="12">
        <v>4</v>
      </c>
      <c r="AW29" s="12">
        <v>1</v>
      </c>
      <c r="AX29" s="12">
        <v>1</v>
      </c>
      <c r="AY29" s="12">
        <v>0.375</v>
      </c>
      <c r="AZ29" s="12" t="s">
        <v>120</v>
      </c>
      <c r="BA29" s="12">
        <v>1</v>
      </c>
      <c r="BB29" s="12">
        <v>1.43</v>
      </c>
      <c r="BC29" s="12">
        <v>0.44</v>
      </c>
      <c r="BD29" s="12">
        <v>0.81</v>
      </c>
      <c r="BE29" s="12">
        <v>0.437</v>
      </c>
      <c r="BF29" s="12">
        <v>2.75</v>
      </c>
      <c r="BG29" s="12">
        <v>2.875</v>
      </c>
      <c r="BH29" s="12" t="s">
        <v>121</v>
      </c>
      <c r="BI29" s="12">
        <v>0.625</v>
      </c>
      <c r="BJ29" s="12">
        <v>2.25</v>
      </c>
      <c r="BK29" s="12">
        <v>0.56200000000000006</v>
      </c>
      <c r="BL29" s="12">
        <v>2.75</v>
      </c>
      <c r="BM29" s="8"/>
      <c r="BN29" s="5">
        <v>7</v>
      </c>
      <c r="BO29" s="5">
        <v>5</v>
      </c>
      <c r="BP29" s="5">
        <v>13.75</v>
      </c>
      <c r="BQ29" s="5">
        <v>14.75</v>
      </c>
      <c r="BR29" s="5">
        <v>3.625</v>
      </c>
      <c r="BT29" s="5">
        <v>9.375</v>
      </c>
      <c r="BU29" s="5">
        <v>3.625</v>
      </c>
      <c r="BV29" s="5">
        <v>3.8130000000000002</v>
      </c>
      <c r="BW29" s="5" t="str">
        <f>IF([1]Data!$B$3="h",IF(AND([1]Data!$B$4=BN29,BO29=$B$15),IF(OR([1]Data!$B$5="mp1",[1]Data!$B$5="mp3"),BP29+$B$18,""),""),"")</f>
        <v/>
      </c>
      <c r="BX29" s="5" t="str">
        <f>IF([1]Data!$B$3="h",IF(AND([1]Data!$B$4=$BN29,$BO29=$B$15),IF([1]Data!$B$5="mp2",BQ29+$B$18,""),""),"")</f>
        <v/>
      </c>
      <c r="BY29" s="5" t="str">
        <f>IF([1]Data!$B$3="h",IF(AND([1]Data!$B$4=$BN29,$BO29=$B$15),IF([1]Data!$B$5="mt1",BR29,""),""),"")</f>
        <v/>
      </c>
      <c r="BZ29" s="5" t="str">
        <f>IF([1]Data!$B$3="h",IF(AND([1]Data!$B$4=$BN29,$BO29=$B$15),IF([1]Data!$B$5="mpu3",BS29+$B$18,""),""),"")</f>
        <v/>
      </c>
      <c r="CA29" s="5" t="str">
        <f>IF([1]Data!$B$3="h",IF(AND([1]Data!$B$4=$BN29,$BO29=$B$15),IF([1]Data!$B$5="mt2",BT29+$B$18,""),""),"")</f>
        <v/>
      </c>
      <c r="CB29" s="28" t="str">
        <f>IF([1]Data!$B$3="h",IF(AND([1]Data!$B$4=$BN29,$BO29=$B$15),IF([1]Data!$B$5="ms2",BU29,""),""),"")</f>
        <v/>
      </c>
      <c r="CC29" s="5" t="str">
        <f>IF([1]Data!$B$3="h",IF(AND([1]Data!$B$4=$BN29,$BO29=$B$15),IF([1]Data!$B$5="ms4",BV29,""),""),"")</f>
        <v/>
      </c>
    </row>
    <row r="30" spans="1:82" ht="18" customHeight="1">
      <c r="A30" s="157"/>
      <c r="B30" s="27"/>
      <c r="C30" s="175" t="str">
        <f>IF(B$13="","",CONCATENATE("G = ",IF([1]Data!B$3="h",VLOOKUP([1]Data!B$4,AJ$12:AN$26,5),VLOOKUP([1]Data!B$4,AJ$29:AN$40,5)),""""))</f>
        <v>G = 2"</v>
      </c>
      <c r="D30" s="176"/>
      <c r="E30" s="177"/>
      <c r="F30" s="177"/>
      <c r="G30" s="178"/>
      <c r="H30" s="165">
        <v>1</v>
      </c>
      <c r="I30" s="166" t="s">
        <v>101</v>
      </c>
      <c r="J30" s="119">
        <v>80</v>
      </c>
      <c r="K30" s="179">
        <v>100</v>
      </c>
      <c r="L30" s="180">
        <v>56</v>
      </c>
      <c r="M30" s="81"/>
      <c r="N30" s="8" t="str">
        <f t="shared" si="2"/>
        <v/>
      </c>
      <c r="O30" s="102" t="str">
        <f t="shared" si="3"/>
        <v/>
      </c>
      <c r="AA30" s="163"/>
      <c r="AB30" s="163"/>
      <c r="AC30" s="181" t="str">
        <f>IF(AB$13="","",CONCATENATE("G = ",IF([1]Data!AB$3="h",VLOOKUP([1]Data!AB$4,BJ$12:BN$26,5),VLOOKUP([1]Data!AB$4,BJ$29:BN$40,5)),""""))</f>
        <v/>
      </c>
      <c r="AD30" s="182"/>
      <c r="AE30" s="173"/>
      <c r="AF30" s="173"/>
      <c r="AG30" s="174"/>
      <c r="AI30" s="12" t="str">
        <f>IF(AND(OR([1]Data!B$3="LH",[1]Data!B$3="A",[1]Data!B$3="VA"),AJ30=$B$13),IF(OR([1]Data!D$2=AL$11,[1]Data!D$2=AL$10),AK30,AL30),"")</f>
        <v/>
      </c>
      <c r="AJ30" s="11">
        <v>2</v>
      </c>
      <c r="AK30" s="11">
        <v>0.375</v>
      </c>
      <c r="AL30" s="12">
        <v>6</v>
      </c>
      <c r="AM30" s="12">
        <v>2.5</v>
      </c>
      <c r="AN30" s="12">
        <v>1.5</v>
      </c>
      <c r="AO30" s="12">
        <v>1</v>
      </c>
      <c r="AP30" s="12">
        <v>3.625</v>
      </c>
      <c r="AQ30" s="12">
        <v>0.5</v>
      </c>
      <c r="AR30" s="12">
        <v>0.75</v>
      </c>
      <c r="AS30" s="12">
        <v>0.75</v>
      </c>
      <c r="AT30" s="12">
        <v>5</v>
      </c>
      <c r="AU30" s="12">
        <v>3</v>
      </c>
      <c r="AV30" s="12">
        <v>4.5</v>
      </c>
      <c r="AW30" s="12">
        <v>1</v>
      </c>
      <c r="AX30" s="12">
        <v>1</v>
      </c>
      <c r="AY30" s="12">
        <v>0.375</v>
      </c>
      <c r="AZ30" s="12" t="s">
        <v>122</v>
      </c>
      <c r="BA30" s="12">
        <v>1.125</v>
      </c>
      <c r="BB30" s="12">
        <v>1.84</v>
      </c>
      <c r="BC30" s="12">
        <v>0.44</v>
      </c>
      <c r="BD30" s="12">
        <v>0.81</v>
      </c>
      <c r="BE30" s="12">
        <v>0.437</v>
      </c>
      <c r="BF30" s="12">
        <v>3.25</v>
      </c>
      <c r="BG30" s="12">
        <v>2.875</v>
      </c>
      <c r="BH30" s="12" t="s">
        <v>123</v>
      </c>
      <c r="BI30" s="12">
        <v>0.875</v>
      </c>
      <c r="BJ30" s="12">
        <v>2.25</v>
      </c>
      <c r="BK30" s="12">
        <v>0.375</v>
      </c>
      <c r="BL30" s="12">
        <v>3.375</v>
      </c>
      <c r="BM30" s="8"/>
      <c r="BN30" s="5">
        <v>8</v>
      </c>
      <c r="BO30" s="5">
        <v>3.5</v>
      </c>
      <c r="BP30" s="5">
        <v>15</v>
      </c>
      <c r="BQ30" s="5">
        <v>16</v>
      </c>
      <c r="BR30" s="5">
        <v>3.75</v>
      </c>
      <c r="BT30" s="5">
        <v>10.25</v>
      </c>
      <c r="BU30" s="5">
        <v>3.625</v>
      </c>
      <c r="BV30" s="5">
        <v>3.9369999999999998</v>
      </c>
      <c r="BW30" s="5" t="str">
        <f>IF([1]Data!$B$3="h",IF(AND([1]Data!$B$4=BN30,BO30=$B$15),IF(OR([1]Data!$B$5="mp1",[1]Data!$B$5="mp3"),BP30+$B$18,""),""),"")</f>
        <v/>
      </c>
      <c r="BX30" s="5" t="str">
        <f>IF([1]Data!$B$3="h",IF(AND([1]Data!$B$4=$BN30,$BO30=$B$15),IF([1]Data!$B$5="mp2",BQ30+$B$18,""),""),"")</f>
        <v/>
      </c>
      <c r="BY30" s="5" t="str">
        <f>IF([1]Data!$B$3="h",IF(AND([1]Data!$B$4=$BN30,$BO30=$B$15),IF([1]Data!$B$5="mt1",BR30,""),""),"")</f>
        <v/>
      </c>
      <c r="BZ30" s="5" t="str">
        <f>IF([1]Data!$B$3="h",IF(AND([1]Data!$B$4=$BN30,$BO30=$B$15),IF([1]Data!$B$5="mpu3",BS30+$B$18,""),""),"")</f>
        <v/>
      </c>
      <c r="CA30" s="5" t="str">
        <f>IF([1]Data!$B$3="h",IF(AND([1]Data!$B$4=$BN30,$BO30=$B$15),IF([1]Data!$B$5="mt2",BT30+$B$18,""),""),"")</f>
        <v/>
      </c>
      <c r="CB30" s="28" t="str">
        <f>IF([1]Data!$B$3="h",IF(AND([1]Data!$B$4=$BN30,$BO30=$B$15),IF([1]Data!$B$5="ms2",BU30,""),""),"")</f>
        <v/>
      </c>
      <c r="CC30" s="5" t="str">
        <f>IF([1]Data!$B$3="h",IF(AND([1]Data!$B$4=$BN30,$BO30=$B$15),IF([1]Data!$B$5="ms4",BV30,""),""),"")</f>
        <v/>
      </c>
    </row>
    <row r="31" spans="1:82" ht="18" customHeight="1">
      <c r="A31" s="143" t="s">
        <v>124</v>
      </c>
      <c r="B31" s="183" t="s">
        <v>125</v>
      </c>
      <c r="C31" s="175" t="str">
        <f>IF(B$13="","",CONCATENATE("J = ",IF([1]Data!B$3="h",VLOOKUP([1]Data!B$4,AJ$12:AO$26,6),VLOOKUP([1]Data!B$4,AJ$29:AO$40,6)),""""))</f>
        <v>J = 1.75"</v>
      </c>
      <c r="D31" s="176"/>
      <c r="E31" s="177"/>
      <c r="F31" s="177"/>
      <c r="G31" s="178"/>
      <c r="H31" s="184">
        <v>4</v>
      </c>
      <c r="I31" s="166" t="s">
        <v>107</v>
      </c>
      <c r="J31" s="119">
        <v>100</v>
      </c>
      <c r="K31" s="179">
        <v>30</v>
      </c>
      <c r="L31" s="180">
        <v>56</v>
      </c>
      <c r="M31" s="81"/>
      <c r="N31" s="8" t="str">
        <f t="shared" si="2"/>
        <v/>
      </c>
      <c r="O31" s="102" t="str">
        <f t="shared" si="3"/>
        <v/>
      </c>
      <c r="AA31" s="145" t="s">
        <v>124</v>
      </c>
      <c r="AB31" s="185" t="s">
        <v>125</v>
      </c>
      <c r="AC31" s="181" t="str">
        <f>IF(AB$13="","",CONCATENATE("J = ",IF([1]Data!AB$3="h",VLOOKUP([1]Data!AB$4,BJ$12:BO$26,6),VLOOKUP([1]Data!AB$4,BJ$29:BO$40,6)),""""))</f>
        <v/>
      </c>
      <c r="AD31" s="182"/>
      <c r="AE31" s="173"/>
      <c r="AF31" s="173"/>
      <c r="AG31" s="174"/>
      <c r="AI31" s="12" t="str">
        <f>IF(AND(OR([1]Data!B$3="LH",[1]Data!B$3="A",[1]Data!B$3="VA"),AJ31=$B$13),IF(OR([1]Data!D$2=AL$11,[1]Data!D$2=AL$10),AK31,AL31),"")</f>
        <v/>
      </c>
      <c r="AJ31" s="11">
        <v>2.5</v>
      </c>
      <c r="AK31" s="11">
        <v>0.375</v>
      </c>
      <c r="AL31" s="12">
        <v>6</v>
      </c>
      <c r="AM31" s="12">
        <v>3</v>
      </c>
      <c r="AN31" s="12">
        <v>1.5</v>
      </c>
      <c r="AO31" s="12">
        <v>1</v>
      </c>
      <c r="AP31" s="12">
        <v>3.75</v>
      </c>
      <c r="AQ31" s="12">
        <v>0.5</v>
      </c>
      <c r="AR31" s="12">
        <v>0.75</v>
      </c>
      <c r="AS31" s="12">
        <v>0.75</v>
      </c>
      <c r="AT31" s="12">
        <v>5.5</v>
      </c>
      <c r="AU31" s="12">
        <v>3.5</v>
      </c>
      <c r="AV31" s="12">
        <v>5</v>
      </c>
      <c r="AW31" s="12">
        <v>1</v>
      </c>
      <c r="AX31" s="12">
        <v>1</v>
      </c>
      <c r="AY31" s="12">
        <v>0.375</v>
      </c>
      <c r="AZ31" s="12" t="s">
        <v>122</v>
      </c>
      <c r="BA31" s="12">
        <v>1.125</v>
      </c>
      <c r="BB31" s="12">
        <v>2.19</v>
      </c>
      <c r="BC31" s="12">
        <v>0.44</v>
      </c>
      <c r="BD31" s="12">
        <v>0.81</v>
      </c>
      <c r="BE31" s="12">
        <v>0.437</v>
      </c>
      <c r="BF31" s="12">
        <v>3.75</v>
      </c>
      <c r="BG31" s="12">
        <v>3</v>
      </c>
      <c r="BH31" s="12" t="s">
        <v>81</v>
      </c>
      <c r="BI31" s="12">
        <v>1.25</v>
      </c>
      <c r="BJ31" s="12">
        <v>2.375</v>
      </c>
      <c r="BK31" s="12">
        <v>0.375</v>
      </c>
      <c r="BL31" s="12">
        <v>3.875</v>
      </c>
      <c r="BM31" s="8"/>
      <c r="BN31" s="5">
        <v>8</v>
      </c>
      <c r="BO31" s="5">
        <v>4</v>
      </c>
      <c r="BP31" s="5">
        <v>15</v>
      </c>
      <c r="BQ31" s="5">
        <v>16</v>
      </c>
      <c r="BR31" s="5">
        <v>3.75</v>
      </c>
      <c r="BT31" s="5">
        <v>10.25</v>
      </c>
      <c r="BU31" s="5">
        <v>3.625</v>
      </c>
      <c r="BV31" s="5">
        <v>3.9369999999999998</v>
      </c>
      <c r="BW31" s="5" t="str">
        <f>IF([1]Data!$B$3="h",IF(AND([1]Data!$B$4=BN31,BO31=$B$15),IF(OR([1]Data!$B$5="mp1",[1]Data!$B$5="mp3"),BP31+$B$18,""),""),"")</f>
        <v/>
      </c>
      <c r="BX31" s="5" t="str">
        <f>IF([1]Data!$B$3="h",IF(AND([1]Data!$B$4=$BN31,$BO31=$B$15),IF([1]Data!$B$5="mp2",BQ31+$B$18,""),""),"")</f>
        <v/>
      </c>
      <c r="BY31" s="5" t="str">
        <f>IF([1]Data!$B$3="h",IF(AND([1]Data!$B$4=$BN31,$BO31=$B$15),IF([1]Data!$B$5="mt1",BR31,""),""),"")</f>
        <v/>
      </c>
      <c r="BZ31" s="5" t="str">
        <f>IF([1]Data!$B$3="h",IF(AND([1]Data!$B$4=$BN31,$BO31=$B$15),IF([1]Data!$B$5="mpu3",BS31+$B$18,""),""),"")</f>
        <v/>
      </c>
      <c r="CA31" s="5" t="str">
        <f>IF([1]Data!$B$3="h",IF(AND([1]Data!$B$4=$BN31,$BO31=$B$15),IF([1]Data!$B$5="mt2",BT31+$B$18,""),""),"")</f>
        <v/>
      </c>
      <c r="CB31" s="28" t="str">
        <f>IF([1]Data!$B$3="h",IF(AND([1]Data!$B$4=$BN31,$BO31=$B$15),IF([1]Data!$B$5="ms2",BU31,""),""),"")</f>
        <v/>
      </c>
      <c r="CC31" s="5" t="str">
        <f>IF([1]Data!$B$3="h",IF(AND([1]Data!$B$4=$BN31,$BO31=$B$15),IF([1]Data!$B$5="ms4",BV31,""),""),"")</f>
        <v/>
      </c>
    </row>
    <row r="32" spans="1:82" ht="18" customHeight="1">
      <c r="A32" s="186"/>
      <c r="B32" s="187"/>
      <c r="C32" s="175" t="str">
        <f>IF(B$13="","",CONCATENATE("LB = ",IF([1]Data!B$3="h",VLOOKUP([1]Data!B$4,AJ$12:AP$26,7)+B18,IF(OR([1]Data!B$3="lh",[1]Data!B$3="a"),VLOOKUP([1]Data!B$4,AJ$29:AP$40,7)+B18)),""""))</f>
        <v>LB = 18.25"</v>
      </c>
      <c r="D32" s="176"/>
      <c r="E32" s="177"/>
      <c r="F32" s="177"/>
      <c r="G32" s="178"/>
      <c r="H32" s="165">
        <v>1</v>
      </c>
      <c r="I32" s="166" t="s">
        <v>113</v>
      </c>
      <c r="J32" s="119">
        <v>100</v>
      </c>
      <c r="K32" s="179">
        <v>500</v>
      </c>
      <c r="L32" s="180">
        <v>56</v>
      </c>
      <c r="M32" s="81"/>
      <c r="N32" s="8" t="str">
        <f t="shared" si="2"/>
        <v/>
      </c>
      <c r="O32" s="102" t="str">
        <f t="shared" si="3"/>
        <v/>
      </c>
      <c r="AA32" s="188"/>
      <c r="AB32" s="189"/>
      <c r="AC32" s="181" t="str">
        <f>IF(AB$13="","",CONCATENATE("LB = ",IF([1]Data!AB$3="h",VLOOKUP([1]Data!AB$4,BJ$12:BP$26,7)+AB18,IF(OR([1]Data!AB$3="lh",[1]Data!AB$3="a"),VLOOKUP([1]Data!AB$4,BJ$29:BP$40,7)+AB18)),""""))</f>
        <v/>
      </c>
      <c r="AD32" s="182"/>
      <c r="AE32" s="173"/>
      <c r="AF32" s="173"/>
      <c r="AG32" s="174"/>
      <c r="AI32" s="12" t="str">
        <f>IF(AND(OR([1]Data!B$3="LH",[1]Data!B$3="A",[1]Data!B$3="VA"),AJ32=$B$13),IF(OR([1]Data!D$2=AL$11,[1]Data!D$2=AL$10),AK32,AL32),"")</f>
        <v/>
      </c>
      <c r="AJ32" s="11">
        <v>3.25</v>
      </c>
      <c r="AK32" s="11">
        <v>0.5</v>
      </c>
      <c r="AL32" s="12">
        <v>8</v>
      </c>
      <c r="AM32" s="12">
        <v>3.75</v>
      </c>
      <c r="AN32" s="12">
        <v>1.75</v>
      </c>
      <c r="AO32" s="12">
        <v>1.25</v>
      </c>
      <c r="AP32" s="12">
        <v>4.25</v>
      </c>
      <c r="AQ32" s="12">
        <v>0.75</v>
      </c>
      <c r="AR32" s="12">
        <v>1.25</v>
      </c>
      <c r="AS32" s="12">
        <v>1.25</v>
      </c>
      <c r="AT32" s="12">
        <v>6.5</v>
      </c>
      <c r="AU32" s="12">
        <v>4.5</v>
      </c>
      <c r="AV32" s="12">
        <v>5.75</v>
      </c>
      <c r="AW32" s="12">
        <v>1</v>
      </c>
      <c r="AX32" s="12">
        <v>1</v>
      </c>
      <c r="AY32" s="12">
        <v>0.625</v>
      </c>
      <c r="AZ32" s="12" t="s">
        <v>80</v>
      </c>
      <c r="BA32" s="12">
        <v>1.375</v>
      </c>
      <c r="BB32" s="12">
        <v>2.76</v>
      </c>
      <c r="BC32" s="12">
        <v>0.66</v>
      </c>
      <c r="BD32" s="12">
        <v>1.19</v>
      </c>
      <c r="BE32" s="12">
        <v>0.56200000000000006</v>
      </c>
      <c r="BF32" s="12">
        <v>4.75</v>
      </c>
      <c r="BG32" s="12">
        <v>3.25</v>
      </c>
      <c r="BH32" s="12" t="s">
        <v>85</v>
      </c>
      <c r="BI32" s="12">
        <v>1.5</v>
      </c>
      <c r="BJ32" s="12">
        <v>2.625</v>
      </c>
      <c r="BK32" s="12">
        <v>0.437</v>
      </c>
      <c r="BL32" s="12">
        <v>4.6879999999999997</v>
      </c>
      <c r="BM32" s="8"/>
      <c r="BN32" s="5">
        <v>8</v>
      </c>
      <c r="BO32" s="5">
        <v>4.5</v>
      </c>
      <c r="BP32" s="5">
        <v>15</v>
      </c>
      <c r="BQ32" s="5">
        <v>16</v>
      </c>
      <c r="BR32" s="5">
        <v>3.75</v>
      </c>
      <c r="BT32" s="5">
        <v>10.25</v>
      </c>
      <c r="BU32" s="5">
        <v>3.625</v>
      </c>
      <c r="BV32" s="5">
        <v>3.9369999999999998</v>
      </c>
      <c r="BW32" s="5" t="str">
        <f>IF([1]Data!$B$3="h",IF(AND([1]Data!$B$4=BN32,BO32=$B$15),IF(OR([1]Data!$B$5="mp1",[1]Data!$B$5="mp3"),BP32+$B$18,""),""),"")</f>
        <v/>
      </c>
      <c r="BX32" s="5" t="str">
        <f>IF([1]Data!$B$3="h",IF(AND([1]Data!$B$4=$BN32,$BO32=$B$15),IF([1]Data!$B$5="mp2",BQ32+$B$18,""),""),"")</f>
        <v/>
      </c>
      <c r="BY32" s="5" t="str">
        <f>IF([1]Data!$B$3="h",IF(AND([1]Data!$B$4=$BN32,$BO32=$B$15),IF([1]Data!$B$5="mt1",BR32,""),""),"")</f>
        <v/>
      </c>
      <c r="BZ32" s="5" t="str">
        <f>IF([1]Data!$B$3="h",IF(AND([1]Data!$B$4=$BN32,$BO32=$B$15),IF([1]Data!$B$5="mpu3",BS32+$B$18,""),""),"")</f>
        <v/>
      </c>
      <c r="CA32" s="5" t="str">
        <f>IF([1]Data!$B$3="h",IF(AND([1]Data!$B$4=$BN32,$BO32=$B$15),IF([1]Data!$B$5="mt2",BT32+$B$18,""),""),"")</f>
        <v/>
      </c>
      <c r="CB32" s="28" t="str">
        <f>IF([1]Data!$B$3="h",IF(AND([1]Data!$B$4=$BN32,$BO32=$B$15),IF([1]Data!$B$5="ms2",BU32,""),""),"")</f>
        <v/>
      </c>
      <c r="CC32" s="5" t="str">
        <f>IF([1]Data!$B$3="h",IF(AND([1]Data!$B$4=$BN32,$BO32=$B$15),IF([1]Data!$B$5="ms4",BV32,""),""),"")</f>
        <v/>
      </c>
    </row>
    <row r="33" spans="1:81" ht="18" customHeight="1">
      <c r="A33" s="190"/>
      <c r="B33" s="191"/>
      <c r="C33" s="175" t="str">
        <f>AJ8</f>
        <v>TF = 8.19"</v>
      </c>
      <c r="D33" s="176"/>
      <c r="E33" s="177"/>
      <c r="F33" s="177"/>
      <c r="G33" s="178"/>
      <c r="H33" s="192"/>
      <c r="I33" s="119"/>
      <c r="J33" s="119"/>
      <c r="K33" s="179"/>
      <c r="L33" s="180"/>
      <c r="M33" s="81"/>
      <c r="N33" s="8" t="str">
        <f t="shared" si="2"/>
        <v/>
      </c>
      <c r="O33" s="102" t="str">
        <f t="shared" si="3"/>
        <v/>
      </c>
      <c r="AA33" s="193"/>
      <c r="AB33" s="194"/>
      <c r="AC33" s="181">
        <f>BJ8</f>
        <v>0</v>
      </c>
      <c r="AD33" s="182"/>
      <c r="AE33" s="173"/>
      <c r="AF33" s="173"/>
      <c r="AG33" s="174"/>
      <c r="AI33" s="12" t="str">
        <f>IF(AND(OR([1]Data!B$3="LH",[1]Data!B$3="A",[1]Data!B$3="VA"),AJ33=$B$13),IF(OR([1]Data!D$2=AL$11,[1]Data!D$2=AL$10),AK33,AL33),"")</f>
        <v/>
      </c>
      <c r="AJ33" s="11">
        <v>4</v>
      </c>
      <c r="AK33" s="11">
        <v>0.5</v>
      </c>
      <c r="AL33" s="12">
        <v>8</v>
      </c>
      <c r="AM33" s="12">
        <v>4.5</v>
      </c>
      <c r="AN33" s="12">
        <v>1.75</v>
      </c>
      <c r="AO33" s="12">
        <v>1.25</v>
      </c>
      <c r="AP33" s="12">
        <v>4.25</v>
      </c>
      <c r="AQ33" s="12">
        <v>0.75</v>
      </c>
      <c r="AR33" s="12">
        <v>1.25</v>
      </c>
      <c r="AS33" s="12">
        <v>1.25</v>
      </c>
      <c r="AT33" s="12">
        <v>7.25</v>
      </c>
      <c r="AU33" s="12">
        <v>5.25</v>
      </c>
      <c r="AV33" s="12">
        <v>6.5</v>
      </c>
      <c r="AW33" s="12">
        <v>1</v>
      </c>
      <c r="AX33" s="12">
        <v>1</v>
      </c>
      <c r="AY33" s="12">
        <v>0.625</v>
      </c>
      <c r="AZ33" s="12" t="s">
        <v>80</v>
      </c>
      <c r="BA33" s="12">
        <v>1.375</v>
      </c>
      <c r="BB33" s="12">
        <v>3.32</v>
      </c>
      <c r="BC33" s="12">
        <v>0.66</v>
      </c>
      <c r="BD33" s="12">
        <v>1.19</v>
      </c>
      <c r="BE33" s="12">
        <v>0.56200000000000006</v>
      </c>
      <c r="BF33" s="12">
        <v>5.5</v>
      </c>
      <c r="BG33" s="12">
        <v>3.25</v>
      </c>
      <c r="BH33" s="12" t="s">
        <v>85</v>
      </c>
      <c r="BI33" s="12">
        <v>2.0619999999999998</v>
      </c>
      <c r="BJ33" s="12">
        <v>2.625</v>
      </c>
      <c r="BK33" s="12">
        <v>0.437</v>
      </c>
      <c r="BL33" s="12">
        <v>5.4370000000000003</v>
      </c>
      <c r="BM33" s="8"/>
      <c r="BN33" s="5">
        <v>8</v>
      </c>
      <c r="BO33" s="5">
        <v>5</v>
      </c>
      <c r="BP33" s="5">
        <v>15</v>
      </c>
      <c r="BQ33" s="5">
        <v>16</v>
      </c>
      <c r="BR33" s="5">
        <v>3.75</v>
      </c>
      <c r="BT33" s="5">
        <v>10.25</v>
      </c>
      <c r="BU33" s="5">
        <v>3.625</v>
      </c>
      <c r="BV33" s="5">
        <v>3.9369999999999998</v>
      </c>
      <c r="BW33" s="5" t="str">
        <f>IF([1]Data!$B$3="h",IF(AND([1]Data!$B$4=BN33,BO33=$B$15),IF(OR([1]Data!$B$5="mp1",[1]Data!$B$5="mp3"),BP33+$B$18,""),""),"")</f>
        <v/>
      </c>
      <c r="BX33" s="5" t="str">
        <f>IF([1]Data!$B$3="h",IF(AND([1]Data!$B$4=$BN33,$BO33=$B$15),IF([1]Data!$B$5="mp2",BQ33+$B$18,""),""),"")</f>
        <v/>
      </c>
      <c r="BY33" s="5" t="str">
        <f>IF([1]Data!$B$3="h",IF(AND([1]Data!$B$4=$BN33,$BO33=$B$15),IF([1]Data!$B$5="mt1",BR33,""),""),"")</f>
        <v/>
      </c>
      <c r="BZ33" s="5" t="str">
        <f>IF([1]Data!$B$3="h",IF(AND([1]Data!$B$4=$BN33,$BO33=$B$15),IF([1]Data!$B$5="mpu3",BS33+$B$18,""),""),"")</f>
        <v/>
      </c>
      <c r="CA33" s="5" t="str">
        <f>IF([1]Data!$B$3="h",IF(AND([1]Data!$B$4=$BN33,$BO33=$B$15),IF([1]Data!$B$5="mt2",BT33+$B$18,""),""),"")</f>
        <v/>
      </c>
      <c r="CB33" s="28" t="str">
        <f>IF([1]Data!$B$3="h",IF(AND([1]Data!$B$4=$BN33,$BO33=$B$15),IF([1]Data!$B$5="ms2",BU33,""),""),"")</f>
        <v/>
      </c>
      <c r="CC33" s="5" t="str">
        <f>IF([1]Data!$B$3="h",IF(AND([1]Data!$B$4=$BN33,$BO33=$B$15),IF([1]Data!$B$5="ms4",BV33,""),""),"")</f>
        <v/>
      </c>
    </row>
    <row r="34" spans="1:81" ht="18" customHeight="1">
      <c r="A34" s="190"/>
      <c r="B34" s="191"/>
      <c r="C34" s="175" t="str">
        <f>AK8</f>
        <v>R = 4.95"</v>
      </c>
      <c r="D34" s="176"/>
      <c r="E34" s="177"/>
      <c r="F34" s="177"/>
      <c r="G34" s="178"/>
      <c r="H34" s="192"/>
      <c r="I34" s="119"/>
      <c r="J34" s="119"/>
      <c r="K34" s="179"/>
      <c r="L34" s="180"/>
      <c r="M34" s="81"/>
      <c r="N34" s="8" t="str">
        <f t="shared" si="2"/>
        <v/>
      </c>
      <c r="O34" s="102" t="str">
        <f t="shared" si="3"/>
        <v/>
      </c>
      <c r="AA34" s="193"/>
      <c r="AB34" s="194"/>
      <c r="AC34" s="181">
        <f>BK8</f>
        <v>0</v>
      </c>
      <c r="AD34" s="182"/>
      <c r="AE34" s="173"/>
      <c r="AF34" s="173"/>
      <c r="AG34" s="174"/>
      <c r="AI34" s="12" t="str">
        <f>IF(AND(OR([1]Data!B$3="LH",[1]Data!B$3="A",[1]Data!B$3="VA"),AJ34=$B$13),IF(OR([1]Data!D$2=AL$11,[1]Data!D$2=AL$10),AK34,AL34),"")</f>
        <v/>
      </c>
      <c r="AJ34" s="11">
        <v>5</v>
      </c>
      <c r="AK34" s="11">
        <v>0.5</v>
      </c>
      <c r="AL34" s="12">
        <v>8</v>
      </c>
      <c r="AM34" s="12">
        <v>5.5</v>
      </c>
      <c r="AN34" s="12">
        <v>1.75</v>
      </c>
      <c r="AO34" s="12">
        <v>1.25</v>
      </c>
      <c r="AP34" s="12">
        <v>4.5</v>
      </c>
      <c r="AQ34" s="12">
        <v>0.75</v>
      </c>
      <c r="AR34" s="12">
        <v>1.25</v>
      </c>
      <c r="AS34" s="12">
        <v>1.25</v>
      </c>
      <c r="AT34" s="12">
        <v>8.25</v>
      </c>
      <c r="AU34" s="12">
        <v>6.25</v>
      </c>
      <c r="AV34" s="12">
        <v>7.5</v>
      </c>
      <c r="AW34" s="12">
        <v>1</v>
      </c>
      <c r="AX34" s="12">
        <v>1</v>
      </c>
      <c r="AY34" s="12">
        <v>0.625</v>
      </c>
      <c r="AZ34" s="12" t="s">
        <v>84</v>
      </c>
      <c r="BA34" s="12">
        <v>1.8125</v>
      </c>
      <c r="BB34" s="12">
        <v>4.0999999999999996</v>
      </c>
      <c r="BC34" s="12">
        <v>0.66</v>
      </c>
      <c r="BD34" s="12">
        <v>1.19</v>
      </c>
      <c r="BE34" s="12">
        <v>0.81299999999999994</v>
      </c>
      <c r="BF34" s="12">
        <v>6.875</v>
      </c>
      <c r="BG34" s="12">
        <v>3.125</v>
      </c>
      <c r="BH34" s="12" t="s">
        <v>88</v>
      </c>
      <c r="BI34" s="12">
        <v>2.6880000000000002</v>
      </c>
      <c r="BJ34" s="12">
        <v>2.875</v>
      </c>
      <c r="BK34" s="12">
        <v>0.56200000000000006</v>
      </c>
      <c r="BL34" s="12">
        <v>6.625</v>
      </c>
      <c r="BM34" s="8"/>
      <c r="BN34" s="5">
        <v>8</v>
      </c>
      <c r="BO34" s="5">
        <v>5.5</v>
      </c>
      <c r="BP34" s="5">
        <v>15</v>
      </c>
      <c r="BQ34" s="5">
        <v>16</v>
      </c>
      <c r="BR34" s="5">
        <v>3.75</v>
      </c>
      <c r="BT34" s="5">
        <v>10.25</v>
      </c>
      <c r="BU34" s="5">
        <v>3.625</v>
      </c>
      <c r="BV34" s="5">
        <v>3.9369999999999998</v>
      </c>
      <c r="BW34" s="5" t="str">
        <f>IF([1]Data!$B$3="h",IF(AND([1]Data!$B$4=BN34,BO34=$B$15),IF(OR([1]Data!$B$5="mp1",[1]Data!$B$5="mp3"),BP34+$B$18,""),""),"")</f>
        <v/>
      </c>
      <c r="BX34" s="5" t="str">
        <f>IF([1]Data!$B$3="h",IF(AND([1]Data!$B$4=$BN34,$BO34=$B$15),IF([1]Data!$B$5="mp2",BQ34+$B$18,""),""),"")</f>
        <v/>
      </c>
      <c r="BY34" s="5" t="str">
        <f>IF([1]Data!$B$3="h",IF(AND([1]Data!$B$4=$BN34,$BO34=$B$15),IF([1]Data!$B$5="mt1",BR34,""),""),"")</f>
        <v/>
      </c>
      <c r="BZ34" s="5" t="str">
        <f>IF([1]Data!$B$3="h",IF(AND([1]Data!$B$4=$BN34,$BO34=$B$15),IF([1]Data!$B$5="mpu3",BS34+$B$18,""),""),"")</f>
        <v/>
      </c>
      <c r="CA34" s="5" t="str">
        <f>IF([1]Data!$B$3="h",IF(AND([1]Data!$B$4=$BN34,$BO34=$B$15),IF([1]Data!$B$5="mt2",BT34+$B$18,""),""),"")</f>
        <v/>
      </c>
      <c r="CB34" s="28" t="str">
        <f>IF([1]Data!$B$3="h",IF(AND([1]Data!$B$4=$BN34,$BO34=$B$15),IF([1]Data!$B$5="ms2",BU34,""),""),"")</f>
        <v/>
      </c>
      <c r="CC34" s="5" t="str">
        <f>IF([1]Data!$B$3="h",IF(AND([1]Data!$B$4=$BN34,$BO34=$B$15),IF([1]Data!$B$5="ms4",BV34,""),""),"")</f>
        <v/>
      </c>
    </row>
    <row r="35" spans="1:81" ht="16">
      <c r="A35" s="190"/>
      <c r="B35" s="191"/>
      <c r="C35" s="175" t="str">
        <f>IF(AL8="","",AL8)</f>
        <v>FB = 0.94"</v>
      </c>
      <c r="D35" s="176"/>
      <c r="E35" s="195"/>
      <c r="F35" s="196" t="str">
        <f>IF(B$13="","",CONCATENATE("A = ",VLOOKUP(B$15,Q$11:S$25,2)+[1]Data!B27,""""," Male/Female"))</f>
        <v>A = 2.25" Male/Female</v>
      </c>
      <c r="G35" s="197"/>
      <c r="H35" s="163"/>
      <c r="I35" s="100"/>
      <c r="J35" s="111"/>
      <c r="K35" s="198"/>
      <c r="L35" s="199"/>
      <c r="M35" s="81"/>
      <c r="N35" s="8" t="str">
        <f t="shared" si="2"/>
        <v/>
      </c>
      <c r="O35" s="102" t="str">
        <f t="shared" si="3"/>
        <v/>
      </c>
      <c r="AA35" s="193"/>
      <c r="AB35" s="194"/>
      <c r="AC35" s="181" t="str">
        <f>IF(BL8="","",BL8)</f>
        <v/>
      </c>
      <c r="AD35" s="182"/>
      <c r="AE35" s="200"/>
      <c r="AF35" s="201" t="str">
        <f>IF(AB$13="","",CONCATENATE("A = ",VLOOKUP(AB$15,AQ$11:AS$25,2)+[1]Data!AB27,""""," Male/Female"))</f>
        <v/>
      </c>
      <c r="AG35" s="202"/>
      <c r="AI35" s="12" t="str">
        <f>IF(AND(OR([1]Data!B$3="LH",[1]Data!B$3="A",[1]Data!B$3="VA"),AJ35=$B$13),IF(OR([1]Data!D$2=AL$11,[1]Data!D$2=AL$10),AK35,AL35),"")</f>
        <v/>
      </c>
      <c r="AJ35" s="11">
        <v>6</v>
      </c>
      <c r="AK35" s="11">
        <v>0.75</v>
      </c>
      <c r="AL35" s="12">
        <v>12</v>
      </c>
      <c r="AM35" s="12">
        <v>6.5</v>
      </c>
      <c r="AN35" s="12">
        <v>2</v>
      </c>
      <c r="AO35" s="12">
        <v>1.5</v>
      </c>
      <c r="AP35" s="12">
        <v>5</v>
      </c>
      <c r="AQ35" s="12">
        <v>1</v>
      </c>
      <c r="AR35" s="12">
        <v>1.5</v>
      </c>
      <c r="AS35" s="12">
        <v>1.5</v>
      </c>
      <c r="AT35" s="12">
        <v>10.375</v>
      </c>
      <c r="AU35" s="12">
        <v>7.625</v>
      </c>
      <c r="AV35" s="12">
        <v>9.25</v>
      </c>
      <c r="AW35" s="12">
        <v>1.375</v>
      </c>
      <c r="AX35" s="12">
        <v>1.375</v>
      </c>
      <c r="AY35" s="12">
        <v>0.75</v>
      </c>
      <c r="AZ35" s="12" t="s">
        <v>84</v>
      </c>
      <c r="BA35" s="12">
        <v>1.8125</v>
      </c>
      <c r="BB35" s="12">
        <v>4.88</v>
      </c>
      <c r="BC35" s="12">
        <v>0.88</v>
      </c>
      <c r="BD35" s="12">
        <v>1.56</v>
      </c>
      <c r="BE35" s="12">
        <v>0.81299999999999994</v>
      </c>
      <c r="BF35" s="12">
        <v>7.875</v>
      </c>
      <c r="BG35" s="12">
        <v>3.625</v>
      </c>
      <c r="BH35" s="12" t="s">
        <v>92</v>
      </c>
      <c r="BI35" s="12">
        <v>3.25</v>
      </c>
      <c r="BJ35" s="12">
        <v>3.125</v>
      </c>
      <c r="BK35" s="12">
        <v>0.56200000000000006</v>
      </c>
      <c r="BL35" s="12">
        <v>7.625</v>
      </c>
      <c r="BM35" s="8"/>
      <c r="BN35" s="5">
        <v>10</v>
      </c>
      <c r="BO35" s="5">
        <v>4.5</v>
      </c>
      <c r="BP35" s="5">
        <v>19.0625</v>
      </c>
      <c r="BR35" s="5">
        <v>4.75</v>
      </c>
      <c r="BT35" s="5">
        <v>13.25</v>
      </c>
      <c r="BW35" s="5" t="str">
        <f>IF([1]Data!$B$3="h",IF(AND([1]Data!$B$4=BN35,BO35=$B$15),IF(OR([1]Data!$B$5="mp1",[1]Data!$B$5="mp3"),BP35+$B$18,""),""),"")</f>
        <v/>
      </c>
      <c r="BX35" s="5" t="str">
        <f>IF([1]Data!$B$3="h",IF(AND([1]Data!$B$4=$BN35,$BO35=$B$15),IF([1]Data!$B$5="mp2",BQ35+$B$18,""),""),"")</f>
        <v/>
      </c>
      <c r="BY35" s="5" t="str">
        <f>IF([1]Data!$B$3="h",IF(AND([1]Data!$B$4=$BN35,$BO35=$B$15),IF([1]Data!$B$5="mt1",BR35,""),""),"")</f>
        <v/>
      </c>
      <c r="BZ35" s="5" t="str">
        <f>IF([1]Data!$B$3="h",IF(AND([1]Data!$B$4=$BN35,$BO35=$B$15),IF([1]Data!$B$5="mpu3",BS35+$B$18,""),""),"")</f>
        <v/>
      </c>
      <c r="CA35" s="5" t="str">
        <f>IF([1]Data!$B$3="h",IF(AND([1]Data!$B$4=$BN35,$BO35=$B$15),IF([1]Data!$B$5="mt2",BT35+$B$18,""),""),"")</f>
        <v/>
      </c>
      <c r="CB35" s="28" t="str">
        <f>IF([1]Data!$B$3="h",IF(AND([1]Data!$B$4=$BN35,$BO35=$B$15),IF([1]Data!$B$5="ms2",BU35,""),""),"")</f>
        <v/>
      </c>
      <c r="CC35" s="5" t="str">
        <f>IF([1]Data!$B$3="h",IF(AND([1]Data!$B$4=$BN35,$BO35=$B$15),IF([1]Data!$B$5="ms4",BV35,""),""),"")</f>
        <v/>
      </c>
    </row>
    <row r="36" spans="1:81" ht="16.5" thickBot="1">
      <c r="A36" s="203"/>
      <c r="B36" s="204"/>
      <c r="C36" s="205" t="str">
        <f>IF(AM8="","",AM8)</f>
        <v>F = 0.88"</v>
      </c>
      <c r="D36" s="206"/>
      <c r="E36" s="207" t="str">
        <f>CONCATENATE(BW2,BX2,BY2,BZ2,CA2,CB2,CC2)</f>
        <v/>
      </c>
      <c r="F36" s="208" t="str">
        <f>IF(B$13="","",CONCATENATE("WF = ",VLOOKUP(B$15,Q$11:S$25,3)+[1]Data!B11,""""))</f>
        <v>WF = 2"</v>
      </c>
      <c r="G36" s="209"/>
      <c r="H36" s="163"/>
      <c r="I36" s="100"/>
      <c r="J36" s="111"/>
      <c r="K36" s="198"/>
      <c r="L36" s="199"/>
      <c r="M36" s="81"/>
      <c r="N36" s="8" t="str">
        <f t="shared" si="2"/>
        <v/>
      </c>
      <c r="O36" s="102" t="str">
        <f t="shared" si="3"/>
        <v/>
      </c>
      <c r="AA36" s="210"/>
      <c r="AB36" s="211"/>
      <c r="AC36" s="212" t="str">
        <f>IF(BM8="","",BM8)</f>
        <v/>
      </c>
      <c r="AD36" s="213"/>
      <c r="AE36" s="214" t="str">
        <f>CONCATENATE(CW2,CX2,CY2,CZ2,DA2,DB2,DC2)</f>
        <v/>
      </c>
      <c r="AF36" s="215" t="str">
        <f>IF(AB$13="","",CONCATENATE("WF = ",VLOOKUP(AB$15,AQ$11:AS$25,3)+[1]Data!AB11,""""))</f>
        <v/>
      </c>
      <c r="AG36" s="216"/>
      <c r="AI36" s="12" t="str">
        <f>IF(AND(OR([1]Data!B$3="LH",[1]Data!B$3="A",[1]Data!B$3="VA"),AJ36=$B$13),IF(OR([1]Data!D$2=AL$11,[1]Data!D$2=AL$10),AK36,AL36),"")</f>
        <v/>
      </c>
      <c r="AJ36" s="11">
        <v>7</v>
      </c>
      <c r="AK36" s="11">
        <v>0.75</v>
      </c>
      <c r="AL36" s="12">
        <v>12</v>
      </c>
      <c r="AM36" s="12">
        <v>7.5</v>
      </c>
      <c r="AN36" s="12">
        <v>2</v>
      </c>
      <c r="AO36" s="12">
        <v>1.5</v>
      </c>
      <c r="AP36" s="12">
        <v>5.125</v>
      </c>
      <c r="AQ36" s="12">
        <v>1</v>
      </c>
      <c r="AR36" s="12">
        <v>1.5</v>
      </c>
      <c r="AS36" s="12">
        <v>1.5</v>
      </c>
      <c r="AT36" s="12">
        <v>11.5</v>
      </c>
      <c r="AU36" s="12">
        <v>8.75</v>
      </c>
      <c r="AV36" s="12">
        <v>10.25</v>
      </c>
      <c r="AW36" s="12">
        <v>1.375</v>
      </c>
      <c r="AX36" s="12">
        <v>1.375</v>
      </c>
      <c r="AZ36" s="12" t="s">
        <v>91</v>
      </c>
      <c r="BA36" s="12">
        <v>2.3125</v>
      </c>
      <c r="BB36" s="12">
        <v>5.73</v>
      </c>
      <c r="BE36" s="12">
        <v>0.81299999999999994</v>
      </c>
      <c r="BF36" s="12">
        <v>8.875</v>
      </c>
      <c r="BG36" s="12">
        <v>3.75</v>
      </c>
      <c r="BH36" s="12" t="s">
        <v>92</v>
      </c>
      <c r="BI36" s="12">
        <v>3.75</v>
      </c>
      <c r="BJ36" s="12">
        <v>3.25</v>
      </c>
      <c r="BM36" s="8"/>
      <c r="BN36" s="5">
        <v>10</v>
      </c>
      <c r="BO36" s="5">
        <v>5</v>
      </c>
      <c r="BP36" s="5">
        <v>19.3125</v>
      </c>
      <c r="BR36" s="5">
        <v>4.75</v>
      </c>
      <c r="BT36" s="5">
        <v>13.25</v>
      </c>
      <c r="BW36" s="5" t="str">
        <f>IF([1]Data!$B$3="h",IF(AND([1]Data!$B$4=BN36,BO36=$B$15),IF(OR([1]Data!$B$5="mp1",[1]Data!$B$5="mp3"),BP36+$B$18,""),""),"")</f>
        <v/>
      </c>
      <c r="BX36" s="5" t="str">
        <f>IF([1]Data!$B$3="h",IF(AND([1]Data!$B$4=$BN36,$BO36=$B$15),IF([1]Data!$B$5="mp2",BQ36+$B$18,""),""),"")</f>
        <v/>
      </c>
      <c r="BY36" s="5" t="str">
        <f>IF([1]Data!$B$3="h",IF(AND([1]Data!$B$4=$BN36,$BO36=$B$15),IF([1]Data!$B$5="mt1",BR36,""),""),"")</f>
        <v/>
      </c>
      <c r="BZ36" s="5" t="str">
        <f>IF([1]Data!$B$3="h",IF(AND([1]Data!$B$4=$BN36,$BO36=$B$15),IF([1]Data!$B$5="mpu3",BS36+$B$18,""),""),"")</f>
        <v/>
      </c>
      <c r="CA36" s="5" t="str">
        <f>IF([1]Data!$B$3="h",IF(AND([1]Data!$B$4=$BN36,$BO36=$B$15),IF([1]Data!$B$5="mt2",BT36+$B$18,""),""),"")</f>
        <v/>
      </c>
      <c r="CB36" s="28" t="str">
        <f>IF([1]Data!$B$3="h",IF(AND([1]Data!$B$4=$BN36,$BO36=$B$15),IF([1]Data!$B$5="ms2",BU36,""),""),"")</f>
        <v/>
      </c>
      <c r="CC36" s="5" t="str">
        <f>IF([1]Data!$B$3="h",IF(AND([1]Data!$B$4=$BN36,$BO36=$B$15),IF([1]Data!$B$5="ms4",BV36,""),""),"")</f>
        <v/>
      </c>
    </row>
    <row r="37" spans="1:81" ht="19.5" customHeight="1" thickTop="1">
      <c r="A37" s="217"/>
      <c r="B37" s="218"/>
      <c r="C37" s="218"/>
      <c r="D37" s="218"/>
      <c r="E37" s="218"/>
      <c r="F37" s="219"/>
      <c r="G37" s="220"/>
      <c r="H37" s="163"/>
      <c r="I37" s="100"/>
      <c r="J37" s="111"/>
      <c r="K37" s="198"/>
      <c r="L37" s="199"/>
      <c r="M37" s="81"/>
      <c r="N37" s="8" t="str">
        <f t="shared" si="2"/>
        <v/>
      </c>
      <c r="O37" s="102" t="str">
        <f t="shared" si="3"/>
        <v/>
      </c>
      <c r="AI37" s="12" t="str">
        <f>IF(AND(OR([1]Data!B$3="LH",[1]Data!B$3="A",[1]Data!B$3="VA"),AJ37=$B$13),IF(OR([1]Data!D$2=AL$11,[1]Data!D$2=AL$10),AK37,AL37),"")</f>
        <v/>
      </c>
      <c r="AJ37" s="11">
        <v>8</v>
      </c>
      <c r="AK37" s="11">
        <v>0.75</v>
      </c>
      <c r="AL37" s="12">
        <v>12</v>
      </c>
      <c r="AM37" s="12">
        <v>8.5</v>
      </c>
      <c r="AN37" s="12">
        <v>2</v>
      </c>
      <c r="AO37" s="12">
        <v>1.5</v>
      </c>
      <c r="AP37" s="12">
        <v>5.125</v>
      </c>
      <c r="AQ37" s="12">
        <v>1</v>
      </c>
      <c r="AR37" s="12">
        <v>1.5</v>
      </c>
      <c r="AS37" s="12">
        <v>1.5</v>
      </c>
      <c r="AT37" s="12">
        <v>12.5</v>
      </c>
      <c r="AU37" s="12">
        <v>9.75</v>
      </c>
      <c r="AV37" s="12">
        <v>11.25</v>
      </c>
      <c r="AW37" s="12">
        <v>1.375</v>
      </c>
      <c r="AX37" s="12">
        <v>1.375</v>
      </c>
      <c r="AZ37" s="12" t="s">
        <v>91</v>
      </c>
      <c r="BA37" s="12">
        <v>2.3125</v>
      </c>
      <c r="BB37" s="12">
        <v>6.44</v>
      </c>
      <c r="BE37" s="12">
        <v>0.81299999999999994</v>
      </c>
      <c r="BF37" s="12">
        <v>9.875</v>
      </c>
      <c r="BG37" s="12">
        <v>3.75</v>
      </c>
      <c r="BH37" s="12" t="s">
        <v>92</v>
      </c>
      <c r="BI37" s="12">
        <v>4.5</v>
      </c>
      <c r="BJ37" s="12">
        <v>3.25</v>
      </c>
      <c r="BM37" s="8"/>
      <c r="BN37" s="5">
        <v>10</v>
      </c>
      <c r="BO37" s="5">
        <v>5.5</v>
      </c>
      <c r="BP37" s="5">
        <v>19.3125</v>
      </c>
      <c r="BR37" s="5">
        <v>4.75</v>
      </c>
      <c r="BT37" s="5">
        <v>13.25</v>
      </c>
      <c r="BW37" s="5" t="str">
        <f>IF([1]Data!$B$3="h",IF(AND([1]Data!$B$4=BN37,BO37=$B$15),IF(OR([1]Data!$B$5="mp1",[1]Data!$B$5="mp3"),BP37+$B$18,""),""),"")</f>
        <v/>
      </c>
      <c r="BX37" s="5" t="str">
        <f>IF([1]Data!$B$3="h",IF(AND([1]Data!$B$4=$BN37,$BO37=$B$15),IF([1]Data!$B$5="mp2",BQ37+$B$18,""),""),"")</f>
        <v/>
      </c>
      <c r="BY37" s="5" t="str">
        <f>IF([1]Data!$B$3="h",IF(AND([1]Data!$B$4=$BN37,$BO37=$B$15),IF([1]Data!$B$5="mt1",BR37,""),""),"")</f>
        <v/>
      </c>
      <c r="BZ37" s="5" t="str">
        <f>IF([1]Data!$B$3="h",IF(AND([1]Data!$B$4=$BN37,$BO37=$B$15),IF([1]Data!$B$5="mpu3",BS37+$B$18,""),""),"")</f>
        <v/>
      </c>
      <c r="CA37" s="5" t="str">
        <f>IF([1]Data!$B$3="h",IF(AND([1]Data!$B$4=$BN37,$BO37=$B$15),IF([1]Data!$B$5="mt2",BT37+$B$18,""),""),"")</f>
        <v/>
      </c>
      <c r="CB37" s="28" t="str">
        <f>IF([1]Data!$B$3="h",IF(AND([1]Data!$B$4=$BN37,$BO37=$B$15),IF([1]Data!$B$5="ms2",BU37,""),""),"")</f>
        <v/>
      </c>
      <c r="CC37" s="5" t="str">
        <f>IF([1]Data!$B$3="h",IF(AND([1]Data!$B$4=$BN37,$BO37=$B$15),IF([1]Data!$B$5="ms4",BV37,""),""),"")</f>
        <v/>
      </c>
    </row>
    <row r="38" spans="1:81" ht="55.5" customHeight="1">
      <c r="A38" s="221"/>
      <c r="B38" s="222"/>
      <c r="C38" s="222"/>
      <c r="D38" s="222"/>
      <c r="E38" s="222"/>
      <c r="F38" s="223"/>
      <c r="G38" s="224"/>
      <c r="H38" s="163"/>
      <c r="I38" s="100"/>
      <c r="J38" s="111"/>
      <c r="K38" s="198"/>
      <c r="L38" s="199"/>
      <c r="M38" s="81"/>
      <c r="N38" s="8" t="str">
        <f t="shared" si="2"/>
        <v/>
      </c>
      <c r="O38" s="102" t="str">
        <f t="shared" si="3"/>
        <v/>
      </c>
      <c r="AI38" s="12" t="str">
        <f>IF(AND(OR([1]Data!B$3="LH",[1]Data!B$3="A",[1]Data!B$3="VA"),AJ38=$B$13),IF(OR([1]Data!D$2=AL$11,[1]Data!D$2=AL$10),AK38,AL38),"")</f>
        <v/>
      </c>
      <c r="AJ38" s="11">
        <v>10</v>
      </c>
      <c r="AK38" s="11">
        <v>1</v>
      </c>
      <c r="AL38" s="12">
        <v>16</v>
      </c>
      <c r="AM38" s="12">
        <v>10.625</v>
      </c>
      <c r="AN38" s="12">
        <v>2.25</v>
      </c>
      <c r="AO38" s="12">
        <v>2</v>
      </c>
      <c r="AP38" s="12">
        <v>6.375</v>
      </c>
      <c r="AQ38" s="12">
        <v>1.375</v>
      </c>
      <c r="AR38" s="12">
        <v>2</v>
      </c>
      <c r="AS38" s="12">
        <v>2.125</v>
      </c>
      <c r="AT38" s="12">
        <v>15.5</v>
      </c>
      <c r="AU38" s="12">
        <v>12</v>
      </c>
      <c r="AV38" s="12">
        <v>14.125</v>
      </c>
      <c r="AW38" s="12">
        <v>1.75</v>
      </c>
      <c r="AX38" s="12">
        <v>1.75</v>
      </c>
      <c r="AZ38" s="12" t="s">
        <v>126</v>
      </c>
      <c r="BA38" s="12">
        <v>2.6875</v>
      </c>
      <c r="BB38" s="12">
        <v>7.92</v>
      </c>
      <c r="BE38" s="12">
        <v>1.0625</v>
      </c>
      <c r="BF38" s="12">
        <v>12.375</v>
      </c>
      <c r="BG38" s="12">
        <v>4.625</v>
      </c>
      <c r="BM38" s="8"/>
      <c r="BN38" s="5">
        <v>10</v>
      </c>
      <c r="BO38" s="5">
        <v>7</v>
      </c>
      <c r="BP38" s="5">
        <v>19.75</v>
      </c>
      <c r="BR38" s="5">
        <v>4.75</v>
      </c>
      <c r="BT38" s="5">
        <v>13.25</v>
      </c>
      <c r="BW38" s="5" t="str">
        <f>IF([1]Data!$B$3="h",IF(AND([1]Data!$B$4=BN38,BO38=$B$15),IF(OR([1]Data!$B$5="mp1",[1]Data!$B$5="mp3"),BP38+$B$18,""),""),"")</f>
        <v/>
      </c>
      <c r="BX38" s="5" t="str">
        <f>IF([1]Data!$B$3="h",IF(AND([1]Data!$B$4=$BN38,$BO38=$B$15),IF([1]Data!$B$5="mp2",BQ38+$B$18,""),""),"")</f>
        <v/>
      </c>
      <c r="BY38" s="5" t="str">
        <f>IF([1]Data!$B$3="h",IF(AND([1]Data!$B$4=$BN38,$BO38=$B$15),IF([1]Data!$B$5="mt1",BR38,""),""),"")</f>
        <v/>
      </c>
      <c r="BZ38" s="5" t="str">
        <f>IF([1]Data!$B$3="h",IF(AND([1]Data!$B$4=$BN38,$BO38=$B$15),IF([1]Data!$B$5="mpu3",BS38+$B$18,""),""),"")</f>
        <v/>
      </c>
      <c r="CA38" s="5" t="str">
        <f>IF([1]Data!$B$3="h",IF(AND([1]Data!$B$4=$BN38,$BO38=$B$15),IF([1]Data!$B$5="mt2",BT38+$B$18,""),""),"")</f>
        <v/>
      </c>
      <c r="CB38" s="28" t="str">
        <f>IF([1]Data!$B$3="h",IF(AND([1]Data!$B$4=$BN38,$BO38=$B$15),IF([1]Data!$B$5="ms2",BU38,""),""),"")</f>
        <v/>
      </c>
      <c r="CC38" s="5" t="str">
        <f>IF([1]Data!$B$3="h",IF(AND([1]Data!$B$4=$BN38,$BO38=$B$15),IF([1]Data!$B$5="ms4",BV38,""),""),"")</f>
        <v/>
      </c>
    </row>
    <row r="39" spans="1:81" ht="15.75" customHeight="1">
      <c r="A39" s="221"/>
      <c r="B39" s="222"/>
      <c r="C39" s="222"/>
      <c r="D39" s="222"/>
      <c r="E39" s="222"/>
      <c r="F39" s="223"/>
      <c r="G39" s="224"/>
      <c r="H39" s="163"/>
      <c r="I39" s="100"/>
      <c r="J39" s="111"/>
      <c r="K39" s="198"/>
      <c r="L39" s="199"/>
      <c r="M39" s="81"/>
      <c r="N39" s="8" t="str">
        <f t="shared" si="2"/>
        <v/>
      </c>
      <c r="O39" s="102" t="str">
        <f t="shared" si="3"/>
        <v/>
      </c>
      <c r="AI39" s="12" t="str">
        <f>IF(AND(OR([1]Data!B$3="LH",[1]Data!B$3="A",[1]Data!B$3="VA"),AJ39=$B$13),IF(OR([1]Data!D$2=AL$11,[1]Data!D$2=AL$10),AK39,AL39),"")</f>
        <v/>
      </c>
      <c r="AJ39" s="11">
        <v>12</v>
      </c>
      <c r="AK39" s="11">
        <v>1</v>
      </c>
      <c r="AL39" s="12">
        <v>16</v>
      </c>
      <c r="AM39" s="12">
        <v>12.75</v>
      </c>
      <c r="AN39" s="12">
        <v>2.25</v>
      </c>
      <c r="AO39" s="12">
        <v>2</v>
      </c>
      <c r="AP39" s="12">
        <v>6.875</v>
      </c>
      <c r="AQ39" s="12">
        <v>1.75</v>
      </c>
      <c r="AR39" s="12">
        <v>2.5</v>
      </c>
      <c r="AS39" s="12">
        <v>2.25</v>
      </c>
      <c r="AT39" s="12">
        <v>17.5</v>
      </c>
      <c r="AU39" s="12">
        <v>14</v>
      </c>
      <c r="AV39" s="12">
        <v>16.25</v>
      </c>
      <c r="AW39" s="12">
        <v>1.75</v>
      </c>
      <c r="AX39" s="12">
        <v>1.75</v>
      </c>
      <c r="AZ39" s="12" t="s">
        <v>126</v>
      </c>
      <c r="BA39" s="12">
        <v>2.6875</v>
      </c>
      <c r="BB39" s="12">
        <v>9.4</v>
      </c>
      <c r="BE39" s="12">
        <v>1.0625</v>
      </c>
      <c r="BF39" s="12">
        <v>14.5</v>
      </c>
      <c r="BG39" s="12">
        <v>5.125</v>
      </c>
      <c r="BM39" s="8"/>
      <c r="BN39" s="5">
        <v>12</v>
      </c>
      <c r="BO39" s="5">
        <v>5.5</v>
      </c>
      <c r="BP39" s="5">
        <v>22.1875</v>
      </c>
      <c r="BR39" s="5">
        <v>5.375</v>
      </c>
      <c r="BT39" s="5">
        <v>15.5</v>
      </c>
      <c r="BW39" s="5" t="str">
        <f>IF([1]Data!$B$3="h",IF(AND([1]Data!$B$4=BN39,BO39=$B$15),IF(OR([1]Data!$B$5="mp1",[1]Data!$B$5="mp3"),BP39+$B$18,""),""),"")</f>
        <v/>
      </c>
      <c r="BX39" s="5" t="str">
        <f>IF([1]Data!$B$3="h",IF(AND([1]Data!$B$4=$BN39,$BO39=$B$15),IF([1]Data!$B$5="mp2",BQ39+$B$18,""),""),"")</f>
        <v/>
      </c>
      <c r="BY39" s="5" t="str">
        <f>IF([1]Data!$B$3="h",IF(AND([1]Data!$B$4=$BN39,$BO39=$B$15),IF([1]Data!$B$5="mt1",BR39,""),""),"")</f>
        <v/>
      </c>
      <c r="BZ39" s="5" t="str">
        <f>IF([1]Data!$B$3="h",IF(AND([1]Data!$B$4=$BN39,$BO39=$B$15),IF([1]Data!$B$5="mpu3",BS39+$B$18,""),""),"")</f>
        <v/>
      </c>
      <c r="CA39" s="5" t="str">
        <f>IF([1]Data!$B$3="h",IF(AND([1]Data!$B$4=$BN39,$BO39=$B$15),IF([1]Data!$B$5="mt2",BT39+$B$18,""),""),"")</f>
        <v/>
      </c>
      <c r="CB39" s="28" t="str">
        <f>IF([1]Data!$B$3="h",IF(AND([1]Data!$B$4=$BN39,$BO39=$B$15),IF([1]Data!$B$5="ms2",BU39,""),""),"")</f>
        <v/>
      </c>
      <c r="CC39" s="5" t="str">
        <f>IF([1]Data!$B$3="h",IF(AND([1]Data!$B$4=$BN39,$BO39=$B$15),IF([1]Data!$B$5="ms4",BV39,""),""),"")</f>
        <v/>
      </c>
    </row>
    <row r="40" spans="1:81" ht="15.75" customHeight="1" thickBot="1">
      <c r="A40" s="225"/>
      <c r="B40" s="226"/>
      <c r="C40" s="226"/>
      <c r="D40" s="226"/>
      <c r="E40" s="226"/>
      <c r="F40" s="227"/>
      <c r="G40" s="228"/>
      <c r="H40" s="163"/>
      <c r="I40" s="100"/>
      <c r="J40" s="111"/>
      <c r="K40" s="198"/>
      <c r="L40" s="199"/>
      <c r="M40" s="81"/>
      <c r="N40" s="8" t="str">
        <f t="shared" si="2"/>
        <v/>
      </c>
      <c r="O40" s="102" t="str">
        <f t="shared" si="3"/>
        <v/>
      </c>
      <c r="AI40" s="12" t="str">
        <f>IF(AND(OR([1]Data!B$3="LH",[1]Data!B$3="A",[1]Data!B$3="VA"),AJ40=$B$13),IF(OR([1]Data!D$2=AL$11,[1]Data!D$2=AL$10),AK40,AL40),"")</f>
        <v/>
      </c>
      <c r="AJ40" s="11">
        <v>14</v>
      </c>
      <c r="AK40" s="11">
        <v>1.25</v>
      </c>
      <c r="AL40" s="12">
        <v>20</v>
      </c>
      <c r="AM40" s="12">
        <v>14.75</v>
      </c>
      <c r="AN40" s="12">
        <v>2.75</v>
      </c>
      <c r="AO40" s="12">
        <v>2.25</v>
      </c>
      <c r="AP40" s="12">
        <v>8.125</v>
      </c>
      <c r="AQ40" s="12">
        <v>2</v>
      </c>
      <c r="AR40" s="12">
        <v>2.5</v>
      </c>
      <c r="AS40" s="12">
        <v>2.5</v>
      </c>
      <c r="AT40" s="12">
        <v>20.25</v>
      </c>
      <c r="AU40" s="12">
        <v>16.25</v>
      </c>
      <c r="AV40" s="12">
        <v>18.75</v>
      </c>
      <c r="AW40" s="12">
        <v>2</v>
      </c>
      <c r="AX40" s="12">
        <v>2</v>
      </c>
      <c r="AZ40" s="12" t="s">
        <v>102</v>
      </c>
      <c r="BA40" s="12">
        <v>3.1875</v>
      </c>
      <c r="BB40" s="12">
        <v>10.9</v>
      </c>
      <c r="BE40" s="12">
        <v>1.3125</v>
      </c>
      <c r="BF40" s="12">
        <v>17</v>
      </c>
      <c r="BG40" s="12">
        <v>5.875</v>
      </c>
      <c r="BM40" s="8"/>
      <c r="BN40" s="5">
        <v>12</v>
      </c>
      <c r="BO40" s="5">
        <v>7</v>
      </c>
      <c r="BP40" s="5">
        <v>22.5</v>
      </c>
      <c r="BR40" s="5">
        <v>5.375</v>
      </c>
      <c r="BT40" s="5">
        <v>15.5</v>
      </c>
      <c r="BW40" s="5" t="str">
        <f>IF([1]Data!$B$3="h",IF(AND([1]Data!$B$4=BN40,BO40=$B$15),IF(OR([1]Data!$B$5="mp1",[1]Data!$B$5="mp3"),BP40+$B$18,""),""),"")</f>
        <v/>
      </c>
      <c r="BX40" s="5" t="str">
        <f>IF([1]Data!$B$3="h",IF(AND([1]Data!$B$4=$BN40,$BO40=$B$15),IF([1]Data!$B$5="mp2",BQ40+$B$18,""),""),"")</f>
        <v/>
      </c>
      <c r="BY40" s="5" t="str">
        <f>IF([1]Data!$B$3="h",IF(AND([1]Data!$B$4=$BN40,$BO40=$B$15),IF([1]Data!$B$5="mt1",BR40,""),""),"")</f>
        <v/>
      </c>
      <c r="BZ40" s="5" t="str">
        <f>IF([1]Data!$B$3="h",IF(AND([1]Data!$B$4=$BN40,$BO40=$B$15),IF([1]Data!$B$5="mpu3",BS40+$B$18,""),""),"")</f>
        <v/>
      </c>
      <c r="CA40" s="5" t="str">
        <f>IF([1]Data!$B$3="h",IF(AND([1]Data!$B$4=$BN40,$BO40=$B$15),IF([1]Data!$B$5="mt2",BT40+$B$18,""),""),"")</f>
        <v/>
      </c>
      <c r="CB40" s="28" t="str">
        <f>IF([1]Data!$B$3="h",IF(AND([1]Data!$B$4=$BN40,$BO40=$B$15),IF([1]Data!$B$5="ms2",BU40,""),""),"")</f>
        <v/>
      </c>
      <c r="CC40" s="5" t="str">
        <f>IF([1]Data!$B$3="h",IF(AND([1]Data!$B$4=$BN40,$BO40=$B$15),IF([1]Data!$B$5="ms4",BV40,""),""),"")</f>
        <v/>
      </c>
    </row>
    <row r="41" spans="1:81" ht="16" thickTop="1">
      <c r="A41" s="229" t="s">
        <v>127</v>
      </c>
      <c r="B41" s="230"/>
      <c r="C41" s="231" t="s">
        <v>128</v>
      </c>
      <c r="D41" s="44"/>
      <c r="E41" s="44"/>
      <c r="F41" s="44"/>
      <c r="G41" s="232"/>
      <c r="H41" s="163"/>
      <c r="I41" s="100"/>
      <c r="J41" s="111"/>
      <c r="K41" s="198"/>
      <c r="L41" s="199"/>
      <c r="M41" s="81"/>
      <c r="N41" s="8" t="str">
        <f t="shared" si="2"/>
        <v/>
      </c>
      <c r="O41" s="102" t="str">
        <f t="shared" si="3"/>
        <v/>
      </c>
      <c r="BM41" s="8"/>
      <c r="BN41" s="5">
        <v>12</v>
      </c>
      <c r="BO41" s="5">
        <v>8</v>
      </c>
      <c r="BP41" s="5">
        <v>23</v>
      </c>
      <c r="BR41" s="5">
        <v>5.375</v>
      </c>
      <c r="BT41" s="5">
        <v>15.5</v>
      </c>
      <c r="BW41" s="5" t="str">
        <f>IF([1]Data!$B$3="h",IF(AND([1]Data!$B$4=BN41,BO41=$B$15),IF(OR([1]Data!$B$5="mp1",[1]Data!$B$5="mp3"),BP41+$B$18,""),""),"")</f>
        <v/>
      </c>
      <c r="BX41" s="5" t="str">
        <f>IF([1]Data!$B$3="h",IF(AND([1]Data!$B$4=$BN41,$BO41=$B$15),IF([1]Data!$B$5="mp2",BQ41+$B$18,""),""),"")</f>
        <v/>
      </c>
      <c r="BY41" s="5" t="str">
        <f>IF([1]Data!$B$3="h",IF(AND([1]Data!$B$4=$BN41,$BO41=$B$15),IF([1]Data!$B$5="mt1",BR41,""),""),"")</f>
        <v/>
      </c>
      <c r="BZ41" s="5" t="str">
        <f>IF([1]Data!$B$3="h",IF(AND([1]Data!$B$4=$BN41,$BO41=$B$15),IF([1]Data!$B$5="mpu3",BS41+$B$18,""),""),"")</f>
        <v/>
      </c>
      <c r="CA41" s="5" t="str">
        <f>IF([1]Data!$B$3="h",IF(AND([1]Data!$B$4=$BN41,$BO41=$B$15),IF([1]Data!$B$5="mt2",BT41+$B$18,""),""),"")</f>
        <v/>
      </c>
      <c r="CB41" s="28" t="str">
        <f>IF([1]Data!$B$3="h",IF(AND([1]Data!$B$4=$BN41,$BO41=$B$15),IF([1]Data!$B$5="ms2",BU41,""),""),"")</f>
        <v/>
      </c>
      <c r="CC41" s="5" t="str">
        <f>IF([1]Data!$B$3="h",IF(AND([1]Data!$B$4=$BN41,$BO41=$B$15),IF([1]Data!$B$5="ms4",BV41,""),""),"")</f>
        <v/>
      </c>
    </row>
    <row r="42" spans="1:81" ht="16">
      <c r="A42" s="233" t="s">
        <v>129</v>
      </c>
      <c r="B42" s="234"/>
      <c r="C42" s="234"/>
      <c r="D42" s="234"/>
      <c r="E42" s="234"/>
      <c r="F42" s="235" t="s">
        <v>130</v>
      </c>
      <c r="G42" s="236"/>
      <c r="H42" s="163"/>
      <c r="I42" s="100"/>
      <c r="J42" s="111"/>
      <c r="K42" s="198"/>
      <c r="L42" s="199"/>
      <c r="M42" s="81"/>
      <c r="N42" s="8" t="str">
        <f t="shared" si="2"/>
        <v/>
      </c>
      <c r="O42" s="102" t="str">
        <f t="shared" si="3"/>
        <v/>
      </c>
      <c r="BM42" s="8"/>
      <c r="BN42" s="5">
        <v>14</v>
      </c>
      <c r="BO42" s="5">
        <v>8</v>
      </c>
      <c r="BP42" s="5">
        <v>25.375</v>
      </c>
      <c r="BR42" s="5">
        <v>5.9375</v>
      </c>
      <c r="BT42" s="5">
        <v>16.6875</v>
      </c>
      <c r="BW42" s="5" t="str">
        <f>IF([1]Data!$B$3="h",IF(AND([1]Data!$B$4=BN42,BO42=$B$15),IF(OR([1]Data!$B$5="mp1",[1]Data!$B$5="mp3"),BP42+$B$18,""),""),"")</f>
        <v/>
      </c>
      <c r="BX42" s="5" t="str">
        <f>IF([1]Data!$B$3="h",IF(AND([1]Data!$B$4=$BN42,$BO42=$B$15),IF([1]Data!$B$5="mp2",BQ42+$B$18,""),""),"")</f>
        <v/>
      </c>
      <c r="BY42" s="5" t="str">
        <f>IF([1]Data!$B$3="h",IF(AND([1]Data!$B$4=$BN42,$BO42=$B$15),IF([1]Data!$B$5="mt1",BR42,""),""),"")</f>
        <v/>
      </c>
      <c r="BZ42" s="5" t="str">
        <f>IF([1]Data!$B$3="h",IF(AND([1]Data!$B$4=$BN42,$BO42=$B$15),IF([1]Data!$B$5="mpu3",BS42+$B$18,""),""),"")</f>
        <v/>
      </c>
      <c r="CA42" s="5" t="str">
        <f>IF([1]Data!$B$3="h",IF(AND([1]Data!$B$4=$BN42,$BO42=$B$15),IF([1]Data!$B$5="mt2",BT42+$B$18,""),""),"")</f>
        <v/>
      </c>
      <c r="CB42" s="28" t="str">
        <f>IF([1]Data!$B$3="h",IF(AND([1]Data!$B$4=$BN42,$BO42=$B$15),IF([1]Data!$B$5="ms2",BU42,""),""),"")</f>
        <v/>
      </c>
      <c r="CC42" s="5" t="str">
        <f>IF([1]Data!$B$3="h",IF(AND([1]Data!$B$4=$BN42,$BO42=$B$15),IF([1]Data!$B$5="ms4",BV42,""),""),"")</f>
        <v/>
      </c>
    </row>
    <row r="43" spans="1:81" ht="16.5" thickBot="1">
      <c r="A43" s="237"/>
      <c r="B43" s="238"/>
      <c r="C43" s="238"/>
      <c r="D43" s="238"/>
      <c r="E43" s="238"/>
      <c r="F43" s="239" t="s">
        <v>131</v>
      </c>
      <c r="G43" s="240"/>
      <c r="H43" s="163"/>
      <c r="I43" s="100"/>
      <c r="J43" s="111"/>
      <c r="K43" s="198"/>
      <c r="L43" s="199"/>
      <c r="M43" s="81"/>
      <c r="N43" s="8" t="str">
        <f t="shared" si="2"/>
        <v/>
      </c>
      <c r="O43" s="102" t="str">
        <f t="shared" si="3"/>
        <v/>
      </c>
      <c r="BN43" s="5">
        <v>14</v>
      </c>
      <c r="BO43" s="5">
        <v>10</v>
      </c>
      <c r="BP43" s="5">
        <v>25.875</v>
      </c>
      <c r="BR43" s="5">
        <v>5.9375</v>
      </c>
      <c r="BT43" s="5">
        <v>16.6875</v>
      </c>
      <c r="BW43" s="5" t="str">
        <f>IF([1]Data!$B$3="h",IF(AND([1]Data!$B$4=BN43,BO43=$B$15),IF(OR([1]Data!$B$5="mp1",[1]Data!$B$5="mp3"),BP43+$B$18,""),""),"")</f>
        <v/>
      </c>
      <c r="BX43" s="5" t="str">
        <f>IF([1]Data!$B$3="h",IF(AND([1]Data!$B$4=$BN43,$BO43=$B$15),IF([1]Data!$B$5="mp2",BQ43+$B$18,""),""),"")</f>
        <v/>
      </c>
      <c r="BY43" s="5" t="str">
        <f>IF([1]Data!$B$3="h",IF(AND([1]Data!$B$4=$BN43,$BO43=$B$15),IF([1]Data!$B$5="mt1",BR43,""),""),"")</f>
        <v/>
      </c>
      <c r="BZ43" s="5" t="str">
        <f>IF([1]Data!$B$3="h",IF(AND([1]Data!$B$4=$BN43,$BO43=$B$15),IF([1]Data!$B$5="mpu3",BS43+$B$18,""),""),"")</f>
        <v/>
      </c>
      <c r="CA43" s="5" t="str">
        <f>IF([1]Data!$B$3="h",IF(AND([1]Data!$B$4=$BN43,$BO43=$B$15),IF([1]Data!$B$5="mt2",BT43+$B$18,""),""),"")</f>
        <v/>
      </c>
      <c r="CB43" s="28" t="str">
        <f>IF([1]Data!$B$3="h",IF(AND([1]Data!$B$4=$BN43,$BO43=$B$15),IF([1]Data!$B$5="ms2",BU43,""),""),"")</f>
        <v/>
      </c>
      <c r="CC43" s="5" t="str">
        <f>IF([1]Data!$B$3="h",IF(AND([1]Data!$B$4=$BN43,$BO43=$B$15),IF([1]Data!$B$5="ms4",BV43,""),""),"")</f>
        <v/>
      </c>
    </row>
    <row r="44" spans="1:81" ht="16" thickTop="1">
      <c r="H44" s="163"/>
      <c r="I44" s="241"/>
      <c r="J44" s="241"/>
      <c r="K44" s="198"/>
      <c r="L44" s="242"/>
      <c r="M44" s="81"/>
      <c r="O44" s="102"/>
      <c r="BN44" s="5">
        <v>16</v>
      </c>
      <c r="BO44" s="5">
        <v>8</v>
      </c>
      <c r="BP44" s="5">
        <v>29.125</v>
      </c>
      <c r="BR44" s="5">
        <v>6.9375</v>
      </c>
      <c r="BT44" s="5">
        <v>19.1875</v>
      </c>
      <c r="BW44" s="5" t="str">
        <f>IF([1]Data!$B$3="h",IF(AND([1]Data!$B$4=BN44,BO44=$B$15),IF(OR([1]Data!$B$5="mp1",[1]Data!$B$5="mp3"),BP44+$B$18,""),""),"")</f>
        <v/>
      </c>
      <c r="BX44" s="5" t="str">
        <f>IF([1]Data!$B$3="h",IF(AND([1]Data!$B$4=$BN44,$BO44=$B$15),IF([1]Data!$B$5="mp2",BQ44+$B$18,""),""),"")</f>
        <v/>
      </c>
      <c r="BY44" s="5" t="str">
        <f>IF([1]Data!$B$3="h",IF(AND([1]Data!$B$4=$BN44,$BO44=$B$15),IF([1]Data!$B$5="mt1",BR44,""),""),"")</f>
        <v/>
      </c>
      <c r="BZ44" s="5" t="str">
        <f>IF([1]Data!$B$3="h",IF(AND([1]Data!$B$4=$BN44,$BO44=$B$15),IF([1]Data!$B$5="mpu3",BS44+$B$18,""),""),"")</f>
        <v/>
      </c>
      <c r="CA44" s="5" t="str">
        <f>IF([1]Data!$B$3="h",IF(AND([1]Data!$B$4=$BN44,$BO44=$B$15),IF([1]Data!$B$5="mt2",BT44+$B$18,""),""),"")</f>
        <v/>
      </c>
      <c r="CB44" s="28" t="str">
        <f>IF([1]Data!$B$3="h",IF(AND([1]Data!$B$4=$BN44,$BO44=$B$15),IF([1]Data!$B$5="ms2",BU44,""),""),"")</f>
        <v/>
      </c>
      <c r="CC44" s="5" t="str">
        <f>IF([1]Data!$B$3="h",IF(AND([1]Data!$B$4=$BN44,$BO44=$B$15),IF([1]Data!$B$5="ms4",BV44,""),""),"")</f>
        <v/>
      </c>
    </row>
    <row r="45" spans="1:81" ht="11.25" customHeight="1">
      <c r="H45" s="243"/>
      <c r="I45" s="244"/>
      <c r="J45" s="244"/>
      <c r="K45" s="245"/>
      <c r="L45" s="246"/>
      <c r="M45" s="81"/>
      <c r="BN45" s="5">
        <v>16</v>
      </c>
      <c r="BO45" s="5">
        <v>10</v>
      </c>
      <c r="BP45" s="5">
        <v>29.625</v>
      </c>
      <c r="BR45" s="5">
        <v>6.9375</v>
      </c>
      <c r="BT45" s="5">
        <v>19.1875</v>
      </c>
      <c r="BW45" s="5" t="str">
        <f>IF([1]Data!$B$3="h",IF(AND([1]Data!$B$4=BN45,BO45=$B$15),IF(OR([1]Data!$B$5="mp1",[1]Data!$B$5="mp3"),BP45+$B$18,""),""),"")</f>
        <v/>
      </c>
      <c r="BX45" s="5" t="str">
        <f>IF([1]Data!$B$3="h",IF(AND([1]Data!$B$4=$BN45,$BO45=$B$15),IF([1]Data!$B$5="mp2",BQ45+$B$18,""),""),"")</f>
        <v/>
      </c>
      <c r="BY45" s="5" t="str">
        <f>IF([1]Data!$B$3="h",IF(AND([1]Data!$B$4=$BN45,$BO45=$B$15),IF([1]Data!$B$5="mt1",BR45,""),""),"")</f>
        <v/>
      </c>
      <c r="BZ45" s="5" t="str">
        <f>IF([1]Data!$B$3="h",IF(AND([1]Data!$B$4=$BN45,$BO45=$B$15),IF([1]Data!$B$5="mpu3",BS45+$B$18,""),""),"")</f>
        <v/>
      </c>
      <c r="CA45" s="5" t="str">
        <f>IF([1]Data!$B$3="h",IF(AND([1]Data!$B$4=$BN45,$BO45=$B$15),IF([1]Data!$B$5="mt2",BT45+$B$18,""),""),"")</f>
        <v/>
      </c>
      <c r="CB45" s="28" t="str">
        <f>IF([1]Data!$B$3="h",IF(AND([1]Data!$B$4=$BN45,$BO45=$B$15),IF([1]Data!$B$5="ms2",BU45,""),""),"")</f>
        <v/>
      </c>
      <c r="CC45" s="5" t="str">
        <f>IF([1]Data!$B$3="h",IF(AND([1]Data!$B$4=$BN45,$BO45=$B$15),IF([1]Data!$B$5="ms4",BV45,""),""),"")</f>
        <v/>
      </c>
    </row>
    <row r="46" spans="1:81" ht="14.5">
      <c r="H46" s="13"/>
      <c r="BN46" s="5">
        <v>18</v>
      </c>
      <c r="BO46" s="5">
        <v>8</v>
      </c>
      <c r="BP46" s="5">
        <v>33</v>
      </c>
      <c r="BR46" s="5">
        <v>7.6875</v>
      </c>
      <c r="BT46" s="5">
        <v>21.9375</v>
      </c>
      <c r="BW46" s="5" t="str">
        <f>IF([1]Data!$B$3="h",IF(AND([1]Data!$B$4=BN46,BO46=$B$15),IF(OR([1]Data!$B$5="mp1",[1]Data!$B$5="mp3"),BP46+$B$18,""),""),"")</f>
        <v/>
      </c>
      <c r="BX46" s="5" t="str">
        <f>IF([1]Data!$B$3="h",IF(AND([1]Data!$B$4=$BN46,$BO46=$B$15),IF([1]Data!$B$5="mp2",BQ46+$B$18,""),""),"")</f>
        <v/>
      </c>
      <c r="BY46" s="5" t="str">
        <f>IF([1]Data!$B$3="h",IF(AND([1]Data!$B$4=$BN46,$BO46=$B$15),IF([1]Data!$B$5="mt1",BR46,""),""),"")</f>
        <v/>
      </c>
      <c r="BZ46" s="5" t="str">
        <f>IF([1]Data!$B$3="h",IF(AND([1]Data!$B$4=$BN46,$BO46=$B$15),IF([1]Data!$B$5="mpu3",BS46+$B$18,""),""),"")</f>
        <v/>
      </c>
      <c r="CA46" s="5" t="str">
        <f>IF([1]Data!$B$3="h",IF(AND([1]Data!$B$4=$BN46,$BO46=$B$15),IF([1]Data!$B$5="mt2",BT46+$B$18,""),""),"")</f>
        <v/>
      </c>
      <c r="CB46" s="28" t="str">
        <f>IF([1]Data!$B$3="h",IF(AND([1]Data!$B$4=$BN46,$BO46=$B$15),IF([1]Data!$B$5="ms2",BU46,""),""),"")</f>
        <v/>
      </c>
      <c r="CC46" s="5" t="str">
        <f>IF([1]Data!$B$3="h",IF(AND([1]Data!$B$4=$BN46,$BO46=$B$15),IF([1]Data!$B$5="ms4",BV46,""),""),"")</f>
        <v/>
      </c>
    </row>
    <row r="47" spans="1:81" ht="18" customHeight="1">
      <c r="H47" s="247"/>
      <c r="BN47" s="5">
        <v>18</v>
      </c>
      <c r="BO47" s="5">
        <v>10</v>
      </c>
      <c r="BP47" s="5">
        <v>33.25</v>
      </c>
      <c r="BR47" s="5">
        <v>7.6875</v>
      </c>
      <c r="BT47" s="5">
        <v>21.9375</v>
      </c>
      <c r="BW47" s="5" t="str">
        <f>IF([1]Data!$B$3="h",IF(AND([1]Data!$B$4=BN47,BO47=$B$15),IF(OR([1]Data!$B$5="mp1",[1]Data!$B$5="mp3"),BP47+$B$18,""),""),"")</f>
        <v/>
      </c>
      <c r="BX47" s="5" t="str">
        <f>IF([1]Data!$B$3="h",IF(AND([1]Data!$B$4=$BN47,$BO47=$B$15),IF([1]Data!$B$5="mp2",BQ47+$B$18,""),""),"")</f>
        <v/>
      </c>
      <c r="BY47" s="5" t="str">
        <f>IF([1]Data!$B$3="h",IF(AND([1]Data!$B$4=$BN47,$BO47=$B$15),IF([1]Data!$B$5="mt1",BR47,""),""),"")</f>
        <v/>
      </c>
      <c r="BZ47" s="5" t="str">
        <f>IF([1]Data!$B$3="h",IF(AND([1]Data!$B$4=$BN47,$BO47=$B$15),IF([1]Data!$B$5="mpu3",BS47+$B$18,""),""),"")</f>
        <v/>
      </c>
      <c r="CA47" s="5" t="str">
        <f>IF([1]Data!$B$3="h",IF(AND([1]Data!$B$4=$BN47,$BO47=$B$15),IF([1]Data!$B$5="mt2",BT47+$B$18,""),""),"")</f>
        <v/>
      </c>
      <c r="CB47" s="28" t="str">
        <f>IF([1]Data!$B$3="h",IF(AND([1]Data!$B$4=$BN47,$BO47=$B$15),IF([1]Data!$B$5="ms2",BU47,""),""),"")</f>
        <v/>
      </c>
      <c r="CC47" s="5" t="str">
        <f>IF([1]Data!$B$3="h",IF(AND([1]Data!$B$4=$BN47,$BO47=$B$15),IF([1]Data!$B$5="ms4",BV47,""),""),"")</f>
        <v/>
      </c>
    </row>
    <row r="48" spans="1:81" ht="18" customHeight="1">
      <c r="BN48" s="5">
        <v>20</v>
      </c>
      <c r="BO48" s="5">
        <v>10</v>
      </c>
      <c r="BP48" s="5">
        <v>36.875</v>
      </c>
      <c r="BR48" s="5">
        <v>8.4375</v>
      </c>
      <c r="BT48" s="5">
        <v>24.1875</v>
      </c>
      <c r="BW48" s="5" t="str">
        <f>IF([1]Data!$B$3="h",IF(AND([1]Data!$B$4=BN48,BO48=$B$15),IF(OR([1]Data!$B$5="mp1",[1]Data!$B$5="mp3"),BP48+$B$18,""),""),"")</f>
        <v/>
      </c>
      <c r="BX48" s="5" t="str">
        <f>IF([1]Data!$B$3="h",IF(AND([1]Data!$B$4=$BN48,$BO48=$B$15),IF([1]Data!$B$5="mp2",BQ48+$B$18,""),""),"")</f>
        <v/>
      </c>
      <c r="BY48" s="5" t="str">
        <f>IF([1]Data!$B$3="h",IF(AND([1]Data!$B$4=$BN48,$BO48=$B$15),IF([1]Data!$B$5="mt1",BR48,""),""),"")</f>
        <v/>
      </c>
      <c r="BZ48" s="5" t="str">
        <f>IF([1]Data!$B$3="h",IF(AND([1]Data!$B$4=$BN48,$BO48=$B$15),IF([1]Data!$B$5="mpu3",BS48+$B$18,""),""),"")</f>
        <v/>
      </c>
      <c r="CA48" s="5" t="str">
        <f>IF([1]Data!$B$3="h",IF(AND([1]Data!$B$4=$BN48,$BO48=$B$15),IF([1]Data!$B$5="mt2",BT48+$B$18,""),""),"")</f>
        <v/>
      </c>
      <c r="CB48" s="28" t="str">
        <f>IF([1]Data!$B$3="h",IF(AND([1]Data!$B$4=$BN48,$BO48=$B$15),IF([1]Data!$B$5="ms2",BU48,""),""),"")</f>
        <v/>
      </c>
      <c r="CC48" s="5" t="str">
        <f>IF([1]Data!$B$3="h",IF(AND([1]Data!$B$4=$BN48,$BO48=$B$15),IF([1]Data!$B$5="ms4",BV48,""),""),"")</f>
        <v/>
      </c>
    </row>
    <row r="49" spans="3:81">
      <c r="C49" s="93"/>
    </row>
    <row r="50" spans="3:81">
      <c r="C50" s="93"/>
      <c r="BN50" s="13" t="s">
        <v>132</v>
      </c>
      <c r="BO50" s="13"/>
      <c r="BP50" s="13"/>
      <c r="BQ50" s="13"/>
      <c r="BR50" s="13"/>
      <c r="BS50" s="13"/>
      <c r="BT50" s="13"/>
      <c r="BU50" s="13"/>
      <c r="BV50" s="13"/>
    </row>
    <row r="51" spans="3:81" ht="130.5" customHeight="1">
      <c r="C51" s="93"/>
      <c r="D51" s="93"/>
      <c r="E51" s="93"/>
      <c r="F51" s="93"/>
      <c r="G51" s="93"/>
      <c r="H51" s="248"/>
      <c r="R51" s="8" t="s">
        <v>133</v>
      </c>
      <c r="BN51" s="13" t="s">
        <v>16</v>
      </c>
      <c r="BO51" s="13" t="s">
        <v>17</v>
      </c>
      <c r="BP51" s="13" t="s">
        <v>18</v>
      </c>
      <c r="BQ51" s="13" t="s">
        <v>19</v>
      </c>
      <c r="BR51" s="13" t="s">
        <v>20</v>
      </c>
      <c r="BS51" s="13" t="s">
        <v>21</v>
      </c>
      <c r="BT51" s="13" t="s">
        <v>22</v>
      </c>
      <c r="BU51" s="13" t="s">
        <v>23</v>
      </c>
      <c r="BV51" s="13" t="s">
        <v>24</v>
      </c>
    </row>
    <row r="52" spans="3:81" ht="144" customHeight="1">
      <c r="C52" s="93"/>
      <c r="D52" s="93"/>
      <c r="E52" s="93"/>
      <c r="F52" s="93"/>
      <c r="G52" s="93"/>
      <c r="H52" s="248"/>
      <c r="R52" s="8" t="s">
        <v>134</v>
      </c>
      <c r="BN52" s="28">
        <v>1.5</v>
      </c>
      <c r="BO52" s="28">
        <v>0.625</v>
      </c>
      <c r="BP52" s="28">
        <v>5.375</v>
      </c>
      <c r="BQ52" s="28">
        <v>5.7549999999999999</v>
      </c>
      <c r="BR52" s="28">
        <v>1.75</v>
      </c>
      <c r="BS52" s="28">
        <v>5.4379999999999997</v>
      </c>
      <c r="BT52" s="28">
        <v>4.125</v>
      </c>
      <c r="BU52" s="28">
        <v>1.375</v>
      </c>
      <c r="BV52" s="28">
        <v>1.9370000000000001</v>
      </c>
      <c r="BW52" s="5" t="str">
        <f>IF(OR([1]Data!$B$3="lh",[1]Data!$B$3="a"),IF(AND([1]Data!$B$4=BN52,BO52=$B$15),IF(OR([1]Data!$B$5="mp1",[1]Data!$B$5="mp3"),BP52+$B$18,""),""),"")</f>
        <v/>
      </c>
      <c r="BX52" s="5" t="str">
        <f>IF(OR([1]Data!$B$3="lh",[1]Data!$B$3="a"),IF(AND([1]Data!$B$4=$BN52,$BO52=$B$15),IF([1]Data!$B$5="mp2",BQ52+$B$18,""),""),"")</f>
        <v/>
      </c>
      <c r="BY52" s="5" t="str">
        <f>IF(OR([1]Data!$B$3="lh",[1]Data!$B$3="a"),IF(AND([1]Data!$B$4=$BN52,$BO52=$B$15),IF([1]Data!$B$5="mt1",BR52,""),""),"")</f>
        <v/>
      </c>
      <c r="BZ52" s="5" t="str">
        <f>IF(OR([1]Data!$B$3="lh",[1]Data!$B$3="a"),IF(AND([1]Data!$B$4=$BN52,$BO52=$B$15),IF([1]Data!$B$5="mpu3",BS52+$B$18,""),""),"")</f>
        <v/>
      </c>
      <c r="CA52" s="5" t="str">
        <f>IF(OR([1]Data!$B$3="lh",[1]Data!$B$3="a"),IF(AND([1]Data!$B$4=$BN52,$BO52=$B$15),IF([1]Data!$B$5="mt2",BT52+$B$18,""),""),"")</f>
        <v/>
      </c>
      <c r="CB52" s="5" t="str">
        <f>IF(OR([1]Data!$B$3="lh",[1]Data!$B$3="a"),IF(AND([1]Data!$B$4=$BN52,$BO52=$B$15),IF([1]Data!$B$5="ms2",BU52,""),""),"")</f>
        <v/>
      </c>
      <c r="CC52" s="5" t="str">
        <f>IF(OR([1]Data!$B$3="lh",[1]Data!$B$3="a"),IF(AND([1]Data!$B$4=$BN52,$BO52=$B$15),IF([1]Data!$B$5="ms4",BV52,""),""),"")</f>
        <v/>
      </c>
    </row>
    <row r="53" spans="3:81" ht="130.5" customHeight="1">
      <c r="C53" s="93"/>
      <c r="D53" s="93"/>
      <c r="E53" s="93"/>
      <c r="F53" s="93"/>
      <c r="G53" s="93"/>
      <c r="H53" s="248"/>
      <c r="R53" s="8" t="s">
        <v>135</v>
      </c>
      <c r="BN53" s="28">
        <v>1.5</v>
      </c>
      <c r="BO53" s="28">
        <v>1</v>
      </c>
      <c r="BP53" s="28">
        <v>5.75</v>
      </c>
      <c r="BQ53" s="28">
        <v>6.13</v>
      </c>
      <c r="BR53" s="28">
        <v>2.125</v>
      </c>
      <c r="BS53" s="28">
        <v>5.8129999999999997</v>
      </c>
      <c r="BT53" s="28">
        <v>4.5</v>
      </c>
      <c r="BU53" s="28">
        <v>1.75</v>
      </c>
      <c r="BV53" s="28">
        <v>2.3119999999999998</v>
      </c>
      <c r="BW53" s="5" t="str">
        <f>IF(OR([1]Data!$B$3="lh",[1]Data!$B$3="a"),IF(AND([1]Data!$B$4=BN53,BO53=$B$15),IF(OR([1]Data!$B$5="mp1",[1]Data!$B$5="mp3"),BP53+$B$18,""),""),"")</f>
        <v/>
      </c>
      <c r="BX53" s="5" t="str">
        <f>IF(OR([1]Data!$B$3="lh",[1]Data!$B$3="a"),IF(AND([1]Data!$B$4=$BN53,$BO53=$B$15),IF([1]Data!$B$5="mp2",BQ53+$B$18,""),""),"")</f>
        <v/>
      </c>
      <c r="BY53" s="5" t="str">
        <f>IF(OR([1]Data!$B$3="lh",[1]Data!$B$3="a"),IF(AND([1]Data!$B$4=$BN53,$BO53=$B$15),IF([1]Data!$B$5="mt1",BR53,""),""),"")</f>
        <v/>
      </c>
      <c r="BZ53" s="5" t="str">
        <f>IF(OR([1]Data!$B$3="lh",[1]Data!$B$3="a"),IF(AND([1]Data!$B$4=$BN53,$BO53=$B$15),IF([1]Data!$B$5="mpu3",BS53+$B$18,""),""),"")</f>
        <v/>
      </c>
      <c r="CA53" s="5" t="str">
        <f>IF(OR([1]Data!$B$3="lh",[1]Data!$B$3="a"),IF(AND([1]Data!$B$4=$BN53,$BO53=$B$15),IF([1]Data!$B$5="mt2",BT53+$B$18,""),""),"")</f>
        <v/>
      </c>
      <c r="CB53" s="5" t="str">
        <f>IF(OR([1]Data!$B$3="lh",[1]Data!$B$3="a"),IF(AND([1]Data!$B$4=$BN53,$BO53=$B$15),IF([1]Data!$B$5="ms2",BU53,""),""),"")</f>
        <v/>
      </c>
      <c r="CC53" s="5" t="str">
        <f>IF(OR([1]Data!$B$3="lh",[1]Data!$B$3="a"),IF(AND([1]Data!$B$4=$BN53,$BO53=$B$15),IF([1]Data!$B$5="ms4",BV53,""),""),"")</f>
        <v/>
      </c>
    </row>
    <row r="54" spans="3:81" ht="135" customHeight="1">
      <c r="C54" s="93"/>
      <c r="D54" s="93"/>
      <c r="E54" s="93"/>
      <c r="F54" s="93"/>
      <c r="G54" s="93"/>
      <c r="H54" s="248"/>
      <c r="R54" s="8" t="s">
        <v>136</v>
      </c>
      <c r="BN54" s="28">
        <v>2</v>
      </c>
      <c r="BO54" s="28">
        <v>0.625</v>
      </c>
      <c r="BP54" s="28">
        <v>5.375</v>
      </c>
      <c r="BQ54" s="28">
        <v>5.75</v>
      </c>
      <c r="BR54" s="28">
        <v>1.75</v>
      </c>
      <c r="BS54" s="28">
        <v>5.4379999999999997</v>
      </c>
      <c r="BT54" s="28">
        <v>4.125</v>
      </c>
      <c r="BU54" s="28">
        <v>1.375</v>
      </c>
      <c r="BV54" s="28">
        <v>1.9370000000000001</v>
      </c>
      <c r="BW54" s="5" t="str">
        <f>IF(OR([1]Data!$B$3="lh",[1]Data!$B$3="a"),IF(AND([1]Data!$B$4=BN54,BO54=$B$15),IF(OR([1]Data!$B$5="mp1",[1]Data!$B$5="mp3"),BP54+$B$18,""),""),"")</f>
        <v/>
      </c>
      <c r="BX54" s="5" t="str">
        <f>IF(OR([1]Data!$B$3="lh",[1]Data!$B$3="a"),IF(AND([1]Data!$B$4=$BN54,$BO54=$B$15),IF([1]Data!$B$5="mp2",BQ54+$B$18,""),""),"")</f>
        <v/>
      </c>
      <c r="BY54" s="5" t="str">
        <f>IF(OR([1]Data!$B$3="lh",[1]Data!$B$3="a"),IF(AND([1]Data!$B$4=$BN54,$BO54=$B$15),IF([1]Data!$B$5="mt1",BR54,""),""),"")</f>
        <v/>
      </c>
      <c r="BZ54" s="5" t="str">
        <f>IF(OR([1]Data!$B$3="lh",[1]Data!$B$3="a"),IF(AND([1]Data!$B$4=$BN54,$BO54=$B$15),IF([1]Data!$B$5="mpu3",BS54+$B$18,""),""),"")</f>
        <v/>
      </c>
      <c r="CA54" s="5" t="str">
        <f>IF(OR([1]Data!$B$3="lh",[1]Data!$B$3="a"),IF(AND([1]Data!$B$4=$BN54,$BO54=$B$15),IF([1]Data!$B$5="mt2",BT54+$B$18,""),""),"")</f>
        <v/>
      </c>
      <c r="CB54" s="5" t="str">
        <f>IF(OR([1]Data!$B$3="lh",[1]Data!$B$3="a"),IF(AND([1]Data!$B$4=$BN54,$BO54=$B$15),IF([1]Data!$B$5="ms2",BU54,""),""),"")</f>
        <v/>
      </c>
      <c r="CC54" s="5" t="str">
        <f>IF(OR([1]Data!$B$3="lh",[1]Data!$B$3="a"),IF(AND([1]Data!$B$4=$BN54,$BO54=$B$15),IF([1]Data!$B$5="ms4",BV54,""),""),"")</f>
        <v/>
      </c>
    </row>
    <row r="55" spans="3:81" ht="128.25" customHeight="1">
      <c r="C55" s="93"/>
      <c r="D55" s="93"/>
      <c r="E55" s="93"/>
      <c r="F55" s="93"/>
      <c r="G55" s="93"/>
      <c r="H55" s="248"/>
      <c r="R55" s="8" t="s">
        <v>137</v>
      </c>
      <c r="BN55" s="28">
        <v>2</v>
      </c>
      <c r="BO55" s="28">
        <v>1</v>
      </c>
      <c r="BP55" s="28">
        <v>5.75</v>
      </c>
      <c r="BQ55" s="28">
        <v>6.13</v>
      </c>
      <c r="BR55" s="28">
        <v>2.125</v>
      </c>
      <c r="BS55" s="28">
        <v>5.8129999999999997</v>
      </c>
      <c r="BT55" s="28">
        <v>4.5</v>
      </c>
      <c r="BU55" s="28">
        <v>1.75</v>
      </c>
      <c r="BV55" s="28">
        <v>2.3119999999999998</v>
      </c>
      <c r="BW55" s="5" t="str">
        <f>IF(OR([1]Data!$B$3="lh",[1]Data!$B$3="a"),IF(AND([1]Data!$B$4=BN55,BO55=$B$15),IF(OR([1]Data!$B$5="mp1",[1]Data!$B$5="mp3"),BP55+$B$18,""),""),"")</f>
        <v/>
      </c>
      <c r="BX55" s="5" t="str">
        <f>IF(OR([1]Data!$B$3="lh",[1]Data!$B$3="a"),IF(AND([1]Data!$B$4=$BN55,$BO55=$B$15),IF([1]Data!$B$5="mp2",BQ55+$B$18,""),""),"")</f>
        <v/>
      </c>
      <c r="BY55" s="5" t="str">
        <f>IF(OR([1]Data!$B$3="lh",[1]Data!$B$3="a"),IF(AND([1]Data!$B$4=$BN55,$BO55=$B$15),IF([1]Data!$B$5="mt1",BR55,""),""),"")</f>
        <v/>
      </c>
      <c r="BZ55" s="5" t="str">
        <f>IF(OR([1]Data!$B$3="lh",[1]Data!$B$3="a"),IF(AND([1]Data!$B$4=$BN55,$BO55=$B$15),IF([1]Data!$B$5="mpu3",BS55+$B$18,""),""),"")</f>
        <v/>
      </c>
      <c r="CA55" s="5" t="str">
        <f>IF(OR([1]Data!$B$3="lh",[1]Data!$B$3="a"),IF(AND([1]Data!$B$4=$BN55,$BO55=$B$15),IF([1]Data!$B$5="mt2",BT55+$B$18,""),""),"")</f>
        <v/>
      </c>
      <c r="CB55" s="5" t="str">
        <f>IF(OR([1]Data!$B$3="lh",[1]Data!$B$3="a"),IF(AND([1]Data!$B$4=$BN55,$BO55=$B$15),IF([1]Data!$B$5="ms2",BU55,""),""),"")</f>
        <v/>
      </c>
      <c r="CC55" s="5" t="str">
        <f>IF(OR([1]Data!$B$3="lh",[1]Data!$B$3="a"),IF(AND([1]Data!$B$4=$BN55,$BO55=$B$15),IF([1]Data!$B$5="ms4",BV55,""),""),"")</f>
        <v/>
      </c>
    </row>
    <row r="56" spans="3:81" ht="139.5" customHeight="1">
      <c r="C56" s="93"/>
      <c r="D56" s="93"/>
      <c r="E56" s="93"/>
      <c r="F56" s="93"/>
      <c r="G56" s="93"/>
      <c r="H56" s="248"/>
      <c r="R56" s="8" t="s">
        <v>138</v>
      </c>
      <c r="BN56" s="28">
        <v>2</v>
      </c>
      <c r="BO56" s="28">
        <v>1.375</v>
      </c>
      <c r="BP56" s="28">
        <v>6</v>
      </c>
      <c r="BQ56" s="28">
        <v>6.375</v>
      </c>
      <c r="BR56" s="28">
        <v>2.375</v>
      </c>
      <c r="BS56" s="28">
        <v>5.25</v>
      </c>
      <c r="BT56" s="28">
        <v>4.75</v>
      </c>
      <c r="BU56" s="28">
        <v>2</v>
      </c>
      <c r="BV56" s="28">
        <v>2.5619999999999998</v>
      </c>
      <c r="BW56" s="5" t="str">
        <f>IF(OR([1]Data!$B$3="lh",[1]Data!$B$3="a"),IF(AND([1]Data!$B$4=BN56,BO56=$B$15),IF(OR([1]Data!$B$5="mp1",[1]Data!$B$5="mp3"),BP56+$B$18,""),""),"")</f>
        <v/>
      </c>
      <c r="BX56" s="5" t="str">
        <f>IF(OR([1]Data!$B$3="lh",[1]Data!$B$3="a"),IF(AND([1]Data!$B$4=$BN56,$BO56=$B$15),IF([1]Data!$B$5="mp2",BQ56+$B$18,""),""),"")</f>
        <v/>
      </c>
      <c r="BY56" s="5" t="str">
        <f>IF(OR([1]Data!$B$3="lh",[1]Data!$B$3="a"),IF(AND([1]Data!$B$4=$BN56,$BO56=$B$15),IF([1]Data!$B$5="mt1",BR56,""),""),"")</f>
        <v/>
      </c>
      <c r="BZ56" s="5" t="str">
        <f>IF(OR([1]Data!$B$3="lh",[1]Data!$B$3="a"),IF(AND([1]Data!$B$4=$BN56,$BO56=$B$15),IF([1]Data!$B$5="mpu3",BS56+$B$18,""),""),"")</f>
        <v/>
      </c>
      <c r="CA56" s="5" t="str">
        <f>IF(OR([1]Data!$B$3="lh",[1]Data!$B$3="a"),IF(AND([1]Data!$B$4=$BN56,$BO56=$B$15),IF([1]Data!$B$5="mt2",BT56+$B$18,""),""),"")</f>
        <v/>
      </c>
      <c r="CB56" s="5" t="str">
        <f>IF(OR([1]Data!$B$3="lh",[1]Data!$B$3="a"),IF(AND([1]Data!$B$4=$BN56,$BO56=$B$15),IF([1]Data!$B$5="ms2",BU56,""),""),"")</f>
        <v/>
      </c>
      <c r="CC56" s="5" t="str">
        <f>IF(OR([1]Data!$B$3="lh",[1]Data!$B$3="a"),IF(AND([1]Data!$B$4=$BN56,$BO56=$B$15),IF([1]Data!$B$5="ms4",BV56,""),""),"")</f>
        <v/>
      </c>
    </row>
    <row r="57" spans="3:81" ht="135.75" customHeight="1">
      <c r="C57" s="93"/>
      <c r="D57" s="93"/>
      <c r="E57" s="93"/>
      <c r="F57" s="93"/>
      <c r="G57" s="93"/>
      <c r="H57" s="248"/>
      <c r="R57" s="8" t="s">
        <v>139</v>
      </c>
      <c r="BN57" s="5">
        <v>2.5</v>
      </c>
      <c r="BO57" s="5">
        <v>0.625</v>
      </c>
      <c r="BP57" s="5">
        <v>5.5</v>
      </c>
      <c r="BQ57" s="5">
        <v>5.88</v>
      </c>
      <c r="BR57" s="5">
        <v>1.75</v>
      </c>
      <c r="BS57" s="5">
        <v>5.5629999999999997</v>
      </c>
      <c r="BT57" s="5">
        <v>4.25</v>
      </c>
      <c r="BU57" s="5">
        <v>1.375</v>
      </c>
      <c r="BV57" s="5">
        <v>1.9370000000000001</v>
      </c>
      <c r="BW57" s="5" t="str">
        <f>IF(OR([1]Data!$B$3="lh",[1]Data!$B$3="a"),IF(AND([1]Data!$B$4=BN57,BO57=$B$15),IF(OR([1]Data!$B$5="mp1",[1]Data!$B$5="mp3"),BP57+$B$18,""),""),"")</f>
        <v/>
      </c>
      <c r="BX57" s="5" t="str">
        <f>IF(OR([1]Data!$B$3="lh",[1]Data!$B$3="a"),IF(AND([1]Data!$B$4=$BN57,$BO57=$B$15),IF([1]Data!$B$5="mp2",BQ57+$B$18,""),""),"")</f>
        <v/>
      </c>
      <c r="BY57" s="5" t="str">
        <f>IF(OR([1]Data!$B$3="lh",[1]Data!$B$3="a"),IF(AND([1]Data!$B$4=$BN57,$BO57=$B$15),IF([1]Data!$B$5="mt1",BR57,""),""),"")</f>
        <v/>
      </c>
      <c r="BZ57" s="5" t="str">
        <f>IF(OR([1]Data!$B$3="lh",[1]Data!$B$3="a"),IF(AND([1]Data!$B$4=$BN57,$BO57=$B$15),IF([1]Data!$B$5="mpu3",BS57+$B$18,""),""),"")</f>
        <v/>
      </c>
      <c r="CA57" s="5" t="str">
        <f>IF(OR([1]Data!$B$3="lh",[1]Data!$B$3="a"),IF(AND([1]Data!$B$4=$BN57,$BO57=$B$15),IF([1]Data!$B$5="mt2",BT57+$B$18,""),""),"")</f>
        <v/>
      </c>
      <c r="CB57" s="5" t="str">
        <f>IF(OR([1]Data!$B$3="lh",[1]Data!$B$3="a"),IF(AND([1]Data!$B$4=$BN57,$BO57=$B$15),IF([1]Data!$B$5="ms2",BU57,""),""),"")</f>
        <v/>
      </c>
      <c r="CC57" s="5" t="str">
        <f>IF(OR([1]Data!$B$3="lh",[1]Data!$B$3="a"),IF(AND([1]Data!$B$4=$BN57,$BO57=$B$15),IF([1]Data!$B$5="ms4",BV57,""),""),"")</f>
        <v/>
      </c>
    </row>
    <row r="58" spans="3:81" ht="150" customHeight="1">
      <c r="C58" s="93"/>
      <c r="D58" s="93"/>
      <c r="E58" s="93"/>
      <c r="F58" s="93"/>
      <c r="G58" s="93"/>
      <c r="H58" s="248"/>
      <c r="R58" s="8" t="s">
        <v>140</v>
      </c>
      <c r="BN58" s="5">
        <v>2.5</v>
      </c>
      <c r="BO58" s="28">
        <v>1</v>
      </c>
      <c r="BP58" s="28">
        <v>5.875</v>
      </c>
      <c r="BQ58" s="28">
        <v>6.25</v>
      </c>
      <c r="BR58" s="28">
        <v>2.125</v>
      </c>
      <c r="BS58" s="28">
        <v>5.9379999999999997</v>
      </c>
      <c r="BT58" s="28">
        <v>4.625</v>
      </c>
      <c r="BU58" s="28">
        <v>1.75</v>
      </c>
      <c r="BV58" s="28">
        <v>2.3119999999999998</v>
      </c>
      <c r="BW58" s="5" t="str">
        <f>IF(OR([1]Data!$B$3="lh",[1]Data!$B$3="a"),IF(AND([1]Data!$B$4=BN58,BO58=$B$15),IF(OR([1]Data!$B$5="mp1",[1]Data!$B$5="mp3"),BP58+$B$18,""),""),"")</f>
        <v/>
      </c>
      <c r="BX58" s="5" t="str">
        <f>IF(OR([1]Data!$B$3="lh",[1]Data!$B$3="a"),IF(AND([1]Data!$B$4=$BN58,$BO58=$B$15),IF([1]Data!$B$5="mp2",BQ58+$B$18,""),""),"")</f>
        <v/>
      </c>
      <c r="BY58" s="5" t="str">
        <f>IF(OR([1]Data!$B$3="lh",[1]Data!$B$3="a"),IF(AND([1]Data!$B$4=$BN58,$BO58=$B$15),IF([1]Data!$B$5="mt1",BR58,""),""),"")</f>
        <v/>
      </c>
      <c r="BZ58" s="5" t="str">
        <f>IF(OR([1]Data!$B$3="lh",[1]Data!$B$3="a"),IF(AND([1]Data!$B$4=$BN58,$BO58=$B$15),IF([1]Data!$B$5="mpu3",BS58+$B$18,""),""),"")</f>
        <v/>
      </c>
      <c r="CA58" s="5" t="str">
        <f>IF(OR([1]Data!$B$3="lh",[1]Data!$B$3="a"),IF(AND([1]Data!$B$4=$BN58,$BO58=$B$15),IF([1]Data!$B$5="mt2",BT58+$B$18,""),""),"")</f>
        <v/>
      </c>
      <c r="CB58" s="5" t="str">
        <f>IF(OR([1]Data!$B$3="lh",[1]Data!$B$3="a"),IF(AND([1]Data!$B$4=$BN58,$BO58=$B$15),IF([1]Data!$B$5="ms2",BU58,""),""),"")</f>
        <v/>
      </c>
      <c r="CC58" s="5" t="str">
        <f>IF(OR([1]Data!$B$3="lh",[1]Data!$B$3="a"),IF(AND([1]Data!$B$4=$BN58,$BO58=$B$15),IF([1]Data!$B$5="ms4",BV58,""),""),"")</f>
        <v/>
      </c>
    </row>
    <row r="59" spans="3:81" ht="144" customHeight="1">
      <c r="C59" s="93"/>
      <c r="D59" s="93"/>
      <c r="E59" s="93"/>
      <c r="F59" s="93"/>
      <c r="G59" s="93"/>
      <c r="H59" s="248"/>
      <c r="R59" s="8" t="s">
        <v>141</v>
      </c>
      <c r="BN59" s="5">
        <v>2.5</v>
      </c>
      <c r="BO59" s="28">
        <v>1.375</v>
      </c>
      <c r="BP59" s="28">
        <v>6.125</v>
      </c>
      <c r="BQ59" s="28">
        <v>6.5</v>
      </c>
      <c r="BR59" s="28">
        <v>2.375</v>
      </c>
      <c r="BS59" s="28">
        <v>6.1879999999999997</v>
      </c>
      <c r="BT59" s="28">
        <v>4.875</v>
      </c>
      <c r="BU59" s="28">
        <v>2</v>
      </c>
      <c r="BV59" s="28">
        <v>2.5619999999999998</v>
      </c>
      <c r="BW59" s="5" t="str">
        <f>IF(OR([1]Data!$B$3="lh",[1]Data!$B$3="a"),IF(AND([1]Data!$B$4=BN59,BO59=$B$15),IF(OR([1]Data!$B$5="mp1",[1]Data!$B$5="mp3"),BP59+$B$18,""),""),"")</f>
        <v/>
      </c>
      <c r="BX59" s="5" t="str">
        <f>IF(OR([1]Data!$B$3="lh",[1]Data!$B$3="a"),IF(AND([1]Data!$B$4=$BN59,$BO59=$B$15),IF([1]Data!$B$5="mp2",BQ59+$B$18,""),""),"")</f>
        <v/>
      </c>
      <c r="BY59" s="5" t="str">
        <f>IF(OR([1]Data!$B$3="lh",[1]Data!$B$3="a"),IF(AND([1]Data!$B$4=$BN59,$BO59=$B$15),IF([1]Data!$B$5="mt1",BR59,""),""),"")</f>
        <v/>
      </c>
      <c r="BZ59" s="5" t="str">
        <f>IF(OR([1]Data!$B$3="lh",[1]Data!$B$3="a"),IF(AND([1]Data!$B$4=$BN59,$BO59=$B$15),IF([1]Data!$B$5="mpu3",BS59+$B$18,""),""),"")</f>
        <v/>
      </c>
      <c r="CA59" s="5" t="str">
        <f>IF(OR([1]Data!$B$3="lh",[1]Data!$B$3="a"),IF(AND([1]Data!$B$4=$BN59,$BO59=$B$15),IF([1]Data!$B$5="mt2",BT59+$B$18,""),""),"")</f>
        <v/>
      </c>
      <c r="CB59" s="5" t="str">
        <f>IF(OR([1]Data!$B$3="lh",[1]Data!$B$3="a"),IF(AND([1]Data!$B$4=$BN59,$BO59=$B$15),IF([1]Data!$B$5="ms2",BU59,""),""),"")</f>
        <v/>
      </c>
      <c r="CC59" s="5" t="str">
        <f>IF(OR([1]Data!$B$3="lh",[1]Data!$B$3="a"),IF(AND([1]Data!$B$4=$BN59,$BO59=$B$15),IF([1]Data!$B$5="ms4",BV59,""),""),"")</f>
        <v/>
      </c>
    </row>
    <row r="60" spans="3:81" ht="141" customHeight="1">
      <c r="C60" s="93"/>
      <c r="D60" s="93"/>
      <c r="E60" s="93"/>
      <c r="F60" s="93"/>
      <c r="G60" s="93"/>
      <c r="H60" s="248"/>
      <c r="R60" s="8" t="s">
        <v>142</v>
      </c>
      <c r="BN60" s="5">
        <v>2.5</v>
      </c>
      <c r="BO60" s="28">
        <v>1.75</v>
      </c>
      <c r="BP60" s="28">
        <v>6.375</v>
      </c>
      <c r="BQ60" s="28">
        <v>6.75</v>
      </c>
      <c r="BR60" s="28">
        <v>2.625</v>
      </c>
      <c r="BS60" s="28">
        <v>6.4379999999999997</v>
      </c>
      <c r="BT60" s="28">
        <v>5.125</v>
      </c>
      <c r="BU60" s="28">
        <v>2.25</v>
      </c>
      <c r="BV60" s="28">
        <v>2.8130000000000002</v>
      </c>
      <c r="BW60" s="5" t="str">
        <f>IF(OR([1]Data!$B$3="lh",[1]Data!$B$3="a"),IF(AND([1]Data!$B$4=BN60,BO60=$B$15),IF(OR([1]Data!$B$5="mp1",[1]Data!$B$5="mp3"),BP60+$B$18,""),""),"")</f>
        <v/>
      </c>
      <c r="BX60" s="5" t="str">
        <f>IF(OR([1]Data!$B$3="lh",[1]Data!$B$3="a"),IF(AND([1]Data!$B$4=$BN60,$BO60=$B$15),IF([1]Data!$B$5="mp2",BQ60+$B$18,""),""),"")</f>
        <v/>
      </c>
      <c r="BY60" s="5" t="str">
        <f>IF(OR([1]Data!$B$3="lh",[1]Data!$B$3="a"),IF(AND([1]Data!$B$4=$BN60,$BO60=$B$15),IF([1]Data!$B$5="mt1",BR60,""),""),"")</f>
        <v/>
      </c>
      <c r="BZ60" s="5" t="str">
        <f>IF(OR([1]Data!$B$3="lh",[1]Data!$B$3="a"),IF(AND([1]Data!$B$4=$BN60,$BO60=$B$15),IF([1]Data!$B$5="mpu3",BS60+$B$18,""),""),"")</f>
        <v/>
      </c>
      <c r="CA60" s="5" t="str">
        <f>IF(OR([1]Data!$B$3="lh",[1]Data!$B$3="a"),IF(AND([1]Data!$B$4=$BN60,$BO60=$B$15),IF([1]Data!$B$5="mt2",BT60+$B$18,""),""),"")</f>
        <v/>
      </c>
      <c r="CB60" s="5" t="str">
        <f>IF(OR([1]Data!$B$3="lh",[1]Data!$B$3="a"),IF(AND([1]Data!$B$4=$BN60,$BO60=$B$15),IF([1]Data!$B$5="ms2",BU60,""),""),"")</f>
        <v/>
      </c>
      <c r="CC60" s="5" t="str">
        <f>IF(OR([1]Data!$B$3="lh",[1]Data!$B$3="a"),IF(AND([1]Data!$B$4=$BN60,$BO60=$B$15),IF([1]Data!$B$5="ms4",BV60,""),""),"")</f>
        <v/>
      </c>
    </row>
    <row r="61" spans="3:81" ht="137.25" customHeight="1">
      <c r="C61" s="93"/>
      <c r="D61" s="93"/>
      <c r="E61" s="93"/>
      <c r="F61" s="93"/>
      <c r="G61" s="93"/>
      <c r="H61" s="248"/>
      <c r="R61" s="8" t="s">
        <v>143</v>
      </c>
      <c r="BN61" s="28">
        <v>3.25</v>
      </c>
      <c r="BO61" s="28">
        <v>1</v>
      </c>
      <c r="BP61" s="28">
        <v>6.875</v>
      </c>
      <c r="BQ61" s="28">
        <v>7.5</v>
      </c>
      <c r="BR61" s="28">
        <v>2.25</v>
      </c>
      <c r="BS61" s="28">
        <v>6.8129999999999997</v>
      </c>
      <c r="BT61" s="28">
        <v>5</v>
      </c>
      <c r="BU61" s="28">
        <v>1.875</v>
      </c>
      <c r="BV61" s="28">
        <v>2.4369999999999998</v>
      </c>
      <c r="BW61" s="5" t="str">
        <f>IF(OR([1]Data!$B$3="lh",[1]Data!$B$3="a"),IF(AND([1]Data!$B$4=BN61,BO61=$B$15),IF(OR([1]Data!$B$5="mp1",[1]Data!$B$5="mp3"),BP61+$B$18,""),""),"")</f>
        <v/>
      </c>
      <c r="BX61" s="5" t="str">
        <f>IF(OR([1]Data!$B$3="lh",[1]Data!$B$3="a"),IF(AND([1]Data!$B$4=$BN61,$BO61=$B$15),IF([1]Data!$B$5="mp2",BQ61+$B$18,""),""),"")</f>
        <v/>
      </c>
      <c r="BY61" s="5" t="str">
        <f>IF(OR([1]Data!$B$3="lh",[1]Data!$B$3="a"),IF(AND([1]Data!$B$4=$BN61,$BO61=$B$15),IF([1]Data!$B$5="mt1",BR61,""),""),"")</f>
        <v/>
      </c>
      <c r="BZ61" s="5" t="str">
        <f>IF(OR([1]Data!$B$3="lh",[1]Data!$B$3="a"),IF(AND([1]Data!$B$4=$BN61,$BO61=$B$15),IF([1]Data!$B$5="mpu3",BS61+$B$18,""),""),"")</f>
        <v/>
      </c>
      <c r="CA61" s="5" t="str">
        <f>IF(OR([1]Data!$B$3="lh",[1]Data!$B$3="a"),IF(AND([1]Data!$B$4=$BN61,$BO61=$B$15),IF([1]Data!$B$5="mt2",BT61+$B$18,""),""),"")</f>
        <v/>
      </c>
      <c r="CB61" s="5" t="str">
        <f>IF(OR([1]Data!$B$3="lh",[1]Data!$B$3="a"),IF(AND([1]Data!$B$4=$BN61,$BO61=$B$15),IF([1]Data!$B$5="ms2",BU61,""),""),"")</f>
        <v/>
      </c>
      <c r="CC61" s="5" t="str">
        <f>IF(OR([1]Data!$B$3="lh",[1]Data!$B$3="a"),IF(AND([1]Data!$B$4=$BN61,$BO61=$B$15),IF([1]Data!$B$5="ms4",BV61,""),""),"")</f>
        <v/>
      </c>
    </row>
    <row r="62" spans="3:81" ht="138" customHeight="1">
      <c r="C62" s="93"/>
      <c r="D62" s="93"/>
      <c r="E62" s="93"/>
      <c r="F62" s="93"/>
      <c r="G62" s="93"/>
      <c r="H62" s="248"/>
      <c r="R62" s="8" t="s">
        <v>144</v>
      </c>
      <c r="BN62" s="28">
        <v>3.25</v>
      </c>
      <c r="BO62" s="28">
        <v>1.375</v>
      </c>
      <c r="BP62" s="28">
        <v>7.125</v>
      </c>
      <c r="BQ62" s="28">
        <v>7.75</v>
      </c>
      <c r="BR62" s="28">
        <v>2.5</v>
      </c>
      <c r="BS62" s="28">
        <v>7.0629999999999997</v>
      </c>
      <c r="BT62" s="28">
        <v>5.25</v>
      </c>
      <c r="BU62" s="28">
        <v>2.125</v>
      </c>
      <c r="BV62" s="28">
        <v>2.6880000000000002</v>
      </c>
      <c r="BW62" s="5" t="str">
        <f>IF(OR([1]Data!$B$3="lh",[1]Data!$B$3="a"),IF(AND([1]Data!$B$4=BN62,BO62=$B$15),IF(OR([1]Data!$B$5="mp1",[1]Data!$B$5="mp3"),BP62+$B$18,""),""),"")</f>
        <v/>
      </c>
      <c r="BX62" s="5" t="str">
        <f>IF(OR([1]Data!$B$3="lh",[1]Data!$B$3="a"),IF(AND([1]Data!$B$4=$BN62,$BO62=$B$15),IF([1]Data!$B$5="mp2",BQ62+$B$18,""),""),"")</f>
        <v/>
      </c>
      <c r="BY62" s="5" t="str">
        <f>IF(OR([1]Data!$B$3="lh",[1]Data!$B$3="a"),IF(AND([1]Data!$B$4=$BN62,$BO62=$B$15),IF([1]Data!$B$5="mt1",BR62,""),""),"")</f>
        <v/>
      </c>
      <c r="BZ62" s="5" t="str">
        <f>IF(OR([1]Data!$B$3="lh",[1]Data!$B$3="a"),IF(AND([1]Data!$B$4=$BN62,$BO62=$B$15),IF([1]Data!$B$5="mpu3",BS62+$B$18,""),""),"")</f>
        <v/>
      </c>
      <c r="CA62" s="5" t="str">
        <f>IF(OR([1]Data!$B$3="lh",[1]Data!$B$3="a"),IF(AND([1]Data!$B$4=$BN62,$BO62=$B$15),IF([1]Data!$B$5="mt2",BT62+$B$18,""),""),"")</f>
        <v/>
      </c>
      <c r="CB62" s="5" t="str">
        <f>IF(OR([1]Data!$B$3="lh",[1]Data!$B$3="a"),IF(AND([1]Data!$B$4=$BN62,$BO62=$B$15),IF([1]Data!$B$5="ms2",BU62,""),""),"")</f>
        <v/>
      </c>
      <c r="CC62" s="5" t="str">
        <f>IF(OR([1]Data!$B$3="lh",[1]Data!$B$3="a"),IF(AND([1]Data!$B$4=$BN62,$BO62=$B$15),IF([1]Data!$B$5="ms4",BV62,""),""),"")</f>
        <v/>
      </c>
    </row>
    <row r="63" spans="3:81" ht="119.25" customHeight="1">
      <c r="C63" s="93"/>
      <c r="D63" s="93"/>
      <c r="E63" s="93"/>
      <c r="F63" s="93"/>
      <c r="G63" s="93"/>
      <c r="H63" s="248"/>
      <c r="R63" s="8" t="s">
        <v>145</v>
      </c>
      <c r="BN63" s="28">
        <v>3.25</v>
      </c>
      <c r="BO63" s="28">
        <v>1.75</v>
      </c>
      <c r="BP63" s="28">
        <v>7.375</v>
      </c>
      <c r="BQ63" s="28">
        <v>8</v>
      </c>
      <c r="BR63" s="28">
        <v>2.75</v>
      </c>
      <c r="BS63" s="28">
        <v>7.3129999999999997</v>
      </c>
      <c r="BT63" s="28">
        <v>5.5</v>
      </c>
      <c r="BU63" s="28">
        <v>2.375</v>
      </c>
      <c r="BV63" s="28">
        <v>2.9369999999999998</v>
      </c>
      <c r="BW63" s="5" t="str">
        <f>IF(OR([1]Data!$B$3="lh",[1]Data!$B$3="a"),IF(AND([1]Data!$B$4=BN63,BO63=$B$15),IF(OR([1]Data!$B$5="mp1",[1]Data!$B$5="mp3"),BP63+$B$18,""),""),"")</f>
        <v/>
      </c>
      <c r="BX63" s="5" t="str">
        <f>IF(OR([1]Data!$B$3="lh",[1]Data!$B$3="a"),IF(AND([1]Data!$B$4=$BN63,$BO63=$B$15),IF([1]Data!$B$5="mp2",BQ63+$B$18,""),""),"")</f>
        <v/>
      </c>
      <c r="BY63" s="5" t="str">
        <f>IF(OR([1]Data!$B$3="lh",[1]Data!$B$3="a"),IF(AND([1]Data!$B$4=$BN63,$BO63=$B$15),IF([1]Data!$B$5="mt1",BR63,""),""),"")</f>
        <v/>
      </c>
      <c r="BZ63" s="5" t="str">
        <f>IF(OR([1]Data!$B$3="lh",[1]Data!$B$3="a"),IF(AND([1]Data!$B$4=$BN63,$BO63=$B$15),IF([1]Data!$B$5="mpu3",BS63+$B$18,""),""),"")</f>
        <v/>
      </c>
      <c r="CA63" s="5" t="str">
        <f>IF(OR([1]Data!$B$3="lh",[1]Data!$B$3="a"),IF(AND([1]Data!$B$4=$BN63,$BO63=$B$15),IF([1]Data!$B$5="mt2",BT63+$B$18,""),""),"")</f>
        <v/>
      </c>
      <c r="CB63" s="5" t="str">
        <f>IF(OR([1]Data!$B$3="lh",[1]Data!$B$3="a"),IF(AND([1]Data!$B$4=$BN63,$BO63=$B$15),IF([1]Data!$B$5="ms2",BU63,""),""),"")</f>
        <v/>
      </c>
      <c r="CC63" s="5" t="str">
        <f>IF(OR([1]Data!$B$3="lh",[1]Data!$B$3="a"),IF(AND([1]Data!$B$4=$BN63,$BO63=$B$15),IF([1]Data!$B$5="ms4",BV63,""),""),"")</f>
        <v/>
      </c>
    </row>
    <row r="64" spans="3:81" ht="164.25" customHeight="1">
      <c r="C64" s="93"/>
      <c r="D64" s="93"/>
      <c r="E64" s="93"/>
      <c r="F64" s="93"/>
      <c r="G64" s="93"/>
      <c r="H64" s="248"/>
      <c r="R64" s="8" t="s">
        <v>146</v>
      </c>
      <c r="BN64" s="28">
        <v>3.25</v>
      </c>
      <c r="BO64" s="28">
        <v>2</v>
      </c>
      <c r="BP64" s="28">
        <v>7.5</v>
      </c>
      <c r="BQ64" s="28">
        <v>8.1300000000000008</v>
      </c>
      <c r="BR64" s="28">
        <v>2.875</v>
      </c>
      <c r="BS64" s="28">
        <v>7.4379999999999997</v>
      </c>
      <c r="BT64" s="28">
        <v>5.625</v>
      </c>
      <c r="BU64" s="28">
        <v>2.5</v>
      </c>
      <c r="BV64" s="28">
        <v>3.0619999999999998</v>
      </c>
      <c r="BW64" s="5" t="str">
        <f>IF(OR([1]Data!$B$3="lh",[1]Data!$B$3="a"),IF(AND([1]Data!$B$4=BN64,BO64=$B$15),IF(OR([1]Data!$B$5="mp1",[1]Data!$B$5="mp3"),BP64+$B$18,""),""),"")</f>
        <v/>
      </c>
      <c r="BX64" s="5" t="str">
        <f>IF(OR([1]Data!$B$3="lh",[1]Data!$B$3="a"),IF(AND([1]Data!$B$4=$BN64,$BO64=$B$15),IF([1]Data!$B$5="mp2",BQ64+$B$18,""),""),"")</f>
        <v/>
      </c>
      <c r="BY64" s="5" t="str">
        <f>IF(OR([1]Data!$B$3="lh",[1]Data!$B$3="a"),IF(AND([1]Data!$B$4=$BN64,$BO64=$B$15),IF([1]Data!$B$5="mt1",BR64,""),""),"")</f>
        <v/>
      </c>
      <c r="BZ64" s="5" t="str">
        <f>IF(OR([1]Data!$B$3="lh",[1]Data!$B$3="a"),IF(AND([1]Data!$B$4=$BN64,$BO64=$B$15),IF([1]Data!$B$5="mpu3",BS64+$B$18,""),""),"")</f>
        <v/>
      </c>
      <c r="CA64" s="5" t="str">
        <f>IF(OR([1]Data!$B$3="lh",[1]Data!$B$3="a"),IF(AND([1]Data!$B$4=$BN64,$BO64=$B$15),IF([1]Data!$B$5="mt2",BT64+$B$18,""),""),"")</f>
        <v/>
      </c>
      <c r="CB64" s="5" t="str">
        <f>IF(OR([1]Data!$B$3="lh",[1]Data!$B$3="a"),IF(AND([1]Data!$B$4=$BN64,$BO64=$B$15),IF([1]Data!$B$5="ms2",BU64,""),""),"")</f>
        <v/>
      </c>
      <c r="CC64" s="5" t="str">
        <f>IF(OR([1]Data!$B$3="lh",[1]Data!$B$3="a"),IF(AND([1]Data!$B$4=$BN64,$BO64=$B$15),IF([1]Data!$B$5="ms4",BV64,""),""),"")</f>
        <v/>
      </c>
    </row>
    <row r="65" spans="3:81" ht="132" customHeight="1">
      <c r="C65" s="93"/>
      <c r="D65" s="93"/>
      <c r="E65" s="93"/>
      <c r="F65" s="93"/>
      <c r="G65" s="93"/>
      <c r="H65" s="248"/>
      <c r="R65" s="8" t="s">
        <v>147</v>
      </c>
      <c r="BN65" s="28">
        <v>4</v>
      </c>
      <c r="BO65" s="28">
        <v>1</v>
      </c>
      <c r="BP65" s="28">
        <v>6.875</v>
      </c>
      <c r="BQ65" s="28">
        <v>7.5</v>
      </c>
      <c r="BR65" s="28">
        <v>2.25</v>
      </c>
      <c r="BS65" s="28">
        <v>6.8129999999999997</v>
      </c>
      <c r="BT65" s="28">
        <v>5</v>
      </c>
      <c r="BU65" s="28">
        <v>1.875</v>
      </c>
      <c r="BV65" s="28">
        <v>2.4369999999999998</v>
      </c>
      <c r="BW65" s="5" t="str">
        <f>IF(OR([1]Data!$B$3="lh",[1]Data!$B$3="a"),IF(AND([1]Data!$B$4=BN65,BO65=$B$15),IF(OR([1]Data!$B$5="mp1",[1]Data!$B$5="mp3"),BP65+$B$18,""),""),"")</f>
        <v/>
      </c>
      <c r="BX65" s="5" t="str">
        <f>IF(OR([1]Data!$B$3="lh",[1]Data!$B$3="a"),IF(AND([1]Data!$B$4=$BN65,$BO65=$B$15),IF([1]Data!$B$5="mp2",BQ65+$B$18,""),""),"")</f>
        <v/>
      </c>
      <c r="BY65" s="5" t="str">
        <f>IF(OR([1]Data!$B$3="lh",[1]Data!$B$3="a"),IF(AND([1]Data!$B$4=$BN65,$BO65=$B$15),IF([1]Data!$B$5="mt1",BR65,""),""),"")</f>
        <v/>
      </c>
      <c r="BZ65" s="5" t="str">
        <f>IF(OR([1]Data!$B$3="lh",[1]Data!$B$3="a"),IF(AND([1]Data!$B$4=$BN65,$BO65=$B$15),IF([1]Data!$B$5="mpu3",BS65+$B$18,""),""),"")</f>
        <v/>
      </c>
      <c r="CA65" s="5" t="str">
        <f>IF(OR([1]Data!$B$3="lh",[1]Data!$B$3="a"),IF(AND([1]Data!$B$4=$BN65,$BO65=$B$15),IF([1]Data!$B$5="mt2",BT65+$B$18,""),""),"")</f>
        <v/>
      </c>
      <c r="CB65" s="5" t="str">
        <f>IF(OR([1]Data!$B$3="lh",[1]Data!$B$3="a"),IF(AND([1]Data!$B$4=$BN65,$BO65=$B$15),IF([1]Data!$B$5="ms2",BU65,""),""),"")</f>
        <v/>
      </c>
      <c r="CC65" s="5" t="str">
        <f>IF(OR([1]Data!$B$3="lh",[1]Data!$B$3="a"),IF(AND([1]Data!$B$4=$BN65,$BO65=$B$15),IF([1]Data!$B$5="ms4",BV65,""),""),"")</f>
        <v/>
      </c>
    </row>
    <row r="66" spans="3:81" ht="142.5" customHeight="1">
      <c r="C66" s="93"/>
      <c r="D66" s="93"/>
      <c r="E66" s="93"/>
      <c r="F66" s="93"/>
      <c r="G66" s="93"/>
      <c r="H66" s="248"/>
      <c r="R66" s="8" t="s">
        <v>148</v>
      </c>
      <c r="BN66" s="28">
        <v>4</v>
      </c>
      <c r="BO66" s="28">
        <v>1.375</v>
      </c>
      <c r="BP66" s="28">
        <v>7.125</v>
      </c>
      <c r="BQ66" s="28">
        <v>7.75</v>
      </c>
      <c r="BR66" s="28">
        <v>2.5</v>
      </c>
      <c r="BS66" s="28">
        <v>7.0629999999999997</v>
      </c>
      <c r="BT66" s="28">
        <v>5.25</v>
      </c>
      <c r="BU66" s="28">
        <v>2.125</v>
      </c>
      <c r="BV66" s="28">
        <v>2.6880000000000002</v>
      </c>
      <c r="BW66" s="5" t="str">
        <f>IF(OR([1]Data!$B$3="lh",[1]Data!$B$3="a"),IF(AND([1]Data!$B$4=BN66,BO66=$B$15),IF(OR([1]Data!$B$5="mp1",[1]Data!$B$5="mp3"),BP66+$B$18,""),""),"")</f>
        <v/>
      </c>
      <c r="BX66" s="5" t="str">
        <f>IF(OR([1]Data!$B$3="lh",[1]Data!$B$3="a"),IF(AND([1]Data!$B$4=$BN66,$BO66=$B$15),IF([1]Data!$B$5="mp2",BQ66+$B$18,""),""),"")</f>
        <v/>
      </c>
      <c r="BY66" s="5" t="str">
        <f>IF(OR([1]Data!$B$3="lh",[1]Data!$B$3="a"),IF(AND([1]Data!$B$4=$BN66,$BO66=$B$15),IF([1]Data!$B$5="mt1",BR66,""),""),"")</f>
        <v/>
      </c>
      <c r="BZ66" s="5" t="str">
        <f>IF(OR([1]Data!$B$3="lh",[1]Data!$B$3="a"),IF(AND([1]Data!$B$4=$BN66,$BO66=$B$15),IF([1]Data!$B$5="mpu3",BS66+$B$18,""),""),"")</f>
        <v/>
      </c>
      <c r="CA66" s="5" t="str">
        <f>IF(OR([1]Data!$B$3="lh",[1]Data!$B$3="a"),IF(AND([1]Data!$B$4=$BN66,$BO66=$B$15),IF([1]Data!$B$5="mt2",BT66+$B$18,""),""),"")</f>
        <v/>
      </c>
      <c r="CB66" s="5" t="str">
        <f>IF(OR([1]Data!$B$3="lh",[1]Data!$B$3="a"),IF(AND([1]Data!$B$4=$BN66,$BO66=$B$15),IF([1]Data!$B$5="ms2",BU66,""),""),"")</f>
        <v/>
      </c>
      <c r="CC66" s="5" t="str">
        <f>IF(OR([1]Data!$B$3="lh",[1]Data!$B$3="a"),IF(AND([1]Data!$B$4=$BN66,$BO66=$B$15),IF([1]Data!$B$5="ms4",BV66,""),""),"")</f>
        <v/>
      </c>
    </row>
    <row r="67" spans="3:81" ht="126" customHeight="1">
      <c r="C67" s="93"/>
      <c r="D67" s="93"/>
      <c r="E67" s="93"/>
      <c r="F67" s="93"/>
      <c r="G67" s="93"/>
      <c r="H67" s="248"/>
      <c r="R67" s="8" t="s">
        <v>149</v>
      </c>
      <c r="BN67" s="28">
        <v>4</v>
      </c>
      <c r="BO67" s="28">
        <v>1.75</v>
      </c>
      <c r="BP67" s="28">
        <v>7.375</v>
      </c>
      <c r="BQ67" s="28">
        <v>8</v>
      </c>
      <c r="BR67" s="28">
        <v>2.75</v>
      </c>
      <c r="BS67" s="28">
        <v>7.3129999999999997</v>
      </c>
      <c r="BT67" s="28">
        <v>5.5</v>
      </c>
      <c r="BU67" s="28">
        <v>2.375</v>
      </c>
      <c r="BV67" s="28">
        <v>2.9369999999999998</v>
      </c>
      <c r="BW67" s="5" t="str">
        <f>IF(OR([1]Data!$B$3="lh",[1]Data!$B$3="a"),IF(AND([1]Data!$B$4=BN67,BO67=$B$15),IF(OR([1]Data!$B$5="mp1",[1]Data!$B$5="mp3"),BP67+$B$18,""),""),"")</f>
        <v/>
      </c>
      <c r="BX67" s="5" t="str">
        <f>IF(OR([1]Data!$B$3="lh",[1]Data!$B$3="a"),IF(AND([1]Data!$B$4=$BN67,$BO67=$B$15),IF([1]Data!$B$5="mp2",BQ67+$B$18,""),""),"")</f>
        <v/>
      </c>
      <c r="BY67" s="5" t="str">
        <f>IF(OR([1]Data!$B$3="lh",[1]Data!$B$3="a"),IF(AND([1]Data!$B$4=$BN67,$BO67=$B$15),IF([1]Data!$B$5="mt1",BR67,""),""),"")</f>
        <v/>
      </c>
      <c r="BZ67" s="5" t="str">
        <f>IF(OR([1]Data!$B$3="lh",[1]Data!$B$3="a"),IF(AND([1]Data!$B$4=$BN67,$BO67=$B$15),IF([1]Data!$B$5="mpu3",BS67+$B$18,""),""),"")</f>
        <v/>
      </c>
      <c r="CA67" s="5" t="str">
        <f>IF(OR([1]Data!$B$3="lh",[1]Data!$B$3="a"),IF(AND([1]Data!$B$4=$BN67,$BO67=$B$15),IF([1]Data!$B$5="mt2",BT67+$B$18,""),""),"")</f>
        <v/>
      </c>
      <c r="CB67" s="5" t="str">
        <f>IF(OR([1]Data!$B$3="lh",[1]Data!$B$3="a"),IF(AND([1]Data!$B$4=$BN67,$BO67=$B$15),IF([1]Data!$B$5="ms2",BU67,""),""),"")</f>
        <v/>
      </c>
      <c r="CC67" s="5" t="str">
        <f>IF(OR([1]Data!$B$3="lh",[1]Data!$B$3="a"),IF(AND([1]Data!$B$4=$BN67,$BO67=$B$15),IF([1]Data!$B$5="ms4",BV67,""),""),"")</f>
        <v/>
      </c>
    </row>
    <row r="68" spans="3:81" ht="130.5" customHeight="1">
      <c r="C68" s="93"/>
      <c r="D68" s="93"/>
      <c r="E68" s="93"/>
      <c r="F68" s="93"/>
      <c r="G68" s="93"/>
      <c r="H68" s="248"/>
      <c r="R68" s="8" t="s">
        <v>150</v>
      </c>
      <c r="BN68" s="28">
        <v>4</v>
      </c>
      <c r="BO68" s="28">
        <v>2</v>
      </c>
      <c r="BP68" s="28">
        <v>7.5</v>
      </c>
      <c r="BQ68" s="28">
        <v>8.1300000000000008</v>
      </c>
      <c r="BR68" s="28">
        <v>2.875</v>
      </c>
      <c r="BS68" s="28">
        <v>7.4379999999999997</v>
      </c>
      <c r="BT68" s="28">
        <v>5.625</v>
      </c>
      <c r="BU68" s="28">
        <v>2.5</v>
      </c>
      <c r="BV68" s="28">
        <v>3.0619999999999998</v>
      </c>
      <c r="BW68" s="5" t="str">
        <f>IF(OR([1]Data!$B$3="lh",[1]Data!$B$3="a"),IF(AND([1]Data!$B$4=BN68,BO68=$B$15),IF(OR([1]Data!$B$5="mp1",[1]Data!$B$5="mp3"),BP68+$B$18,""),""),"")</f>
        <v/>
      </c>
      <c r="BX68" s="5" t="str">
        <f>IF(OR([1]Data!$B$3="lh",[1]Data!$B$3="a"),IF(AND([1]Data!$B$4=$BN68,$BO68=$B$15),IF([1]Data!$B$5="mp2",BQ68+$B$18,""),""),"")</f>
        <v/>
      </c>
      <c r="BY68" s="5" t="str">
        <f>IF(OR([1]Data!$B$3="lh",[1]Data!$B$3="a"),IF(AND([1]Data!$B$4=$BN68,$BO68=$B$15),IF([1]Data!$B$5="mt1",BR68,""),""),"")</f>
        <v/>
      </c>
      <c r="BZ68" s="5" t="str">
        <f>IF(OR([1]Data!$B$3="lh",[1]Data!$B$3="a"),IF(AND([1]Data!$B$4=$BN68,$BO68=$B$15),IF([1]Data!$B$5="mpu3",BS68+$B$18,""),""),"")</f>
        <v/>
      </c>
      <c r="CA68" s="5" t="str">
        <f>IF(OR([1]Data!$B$3="lh",[1]Data!$B$3="a"),IF(AND([1]Data!$B$4=$BN68,$BO68=$B$15),IF([1]Data!$B$5="mt2",BT68+$B$18,""),""),"")</f>
        <v/>
      </c>
      <c r="CB68" s="5" t="str">
        <f>IF(OR([1]Data!$B$3="lh",[1]Data!$B$3="a"),IF(AND([1]Data!$B$4=$BN68,$BO68=$B$15),IF([1]Data!$B$5="ms2",BU68,""),""),"")</f>
        <v/>
      </c>
      <c r="CC68" s="5" t="str">
        <f>IF(OR([1]Data!$B$3="lh",[1]Data!$B$3="a"),IF(AND([1]Data!$B$4=$BN68,$BO68=$B$15),IF([1]Data!$B$5="ms4",BV68,""),""),"")</f>
        <v/>
      </c>
    </row>
    <row r="69" spans="3:81" ht="127.5" customHeight="1">
      <c r="C69" s="93"/>
      <c r="D69" s="93"/>
      <c r="E69" s="93"/>
      <c r="F69" s="93"/>
      <c r="G69" s="93"/>
      <c r="H69" s="248"/>
      <c r="R69" s="8" t="s">
        <v>151</v>
      </c>
      <c r="BN69" s="28">
        <v>5</v>
      </c>
      <c r="BO69" s="28">
        <v>1</v>
      </c>
      <c r="BP69" s="28">
        <v>7.125</v>
      </c>
      <c r="BQ69" s="28">
        <v>7.75</v>
      </c>
      <c r="BR69" s="28">
        <v>2.25</v>
      </c>
      <c r="BS69" s="28">
        <v>7.0629999999999997</v>
      </c>
      <c r="BT69" s="28">
        <v>5.25</v>
      </c>
      <c r="BU69" s="28">
        <v>2.0619999999999998</v>
      </c>
      <c r="BV69" s="28">
        <v>2.4369999999999998</v>
      </c>
      <c r="BW69" s="5" t="str">
        <f>IF(OR([1]Data!$B$3="lh",[1]Data!$B$3="a"),IF(AND([1]Data!$B$4=BN69,BO69=$B$15),IF(OR([1]Data!$B$5="mp1",[1]Data!$B$5="mp3"),BP69+$B$18,""),""),"")</f>
        <v/>
      </c>
      <c r="BX69" s="5" t="str">
        <f>IF(OR([1]Data!$B$3="lh",[1]Data!$B$3="a"),IF(AND([1]Data!$B$4=$BN69,$BO69=$B$15),IF([1]Data!$B$5="mp2",BQ69+$B$18,""),""),"")</f>
        <v/>
      </c>
      <c r="BY69" s="5" t="str">
        <f>IF(OR([1]Data!$B$3="lh",[1]Data!$B$3="a"),IF(AND([1]Data!$B$4=$BN69,$BO69=$B$15),IF([1]Data!$B$5="mt1",BR69,""),""),"")</f>
        <v/>
      </c>
      <c r="BZ69" s="5" t="str">
        <f>IF(OR([1]Data!$B$3="lh",[1]Data!$B$3="a"),IF(AND([1]Data!$B$4=$BN69,$BO69=$B$15),IF([1]Data!$B$5="mpu3",BS69+$B$18,""),""),"")</f>
        <v/>
      </c>
      <c r="CA69" s="5" t="str">
        <f>IF(OR([1]Data!$B$3="lh",[1]Data!$B$3="a"),IF(AND([1]Data!$B$4=$BN69,$BO69=$B$15),IF([1]Data!$B$5="mt2",BT69+$B$18,""),""),"")</f>
        <v/>
      </c>
      <c r="CB69" s="5" t="str">
        <f>IF(OR([1]Data!$B$3="lh",[1]Data!$B$3="a"),IF(AND([1]Data!$B$4=$BN69,$BO69=$B$15),IF([1]Data!$B$5="ms2",BU69,""),""),"")</f>
        <v/>
      </c>
      <c r="CC69" s="5" t="str">
        <f>IF(OR([1]Data!$B$3="lh",[1]Data!$B$3="a"),IF(AND([1]Data!$B$4=$BN69,$BO69=$B$15),IF([1]Data!$B$5="ms4",BV69,""),""),"")</f>
        <v/>
      </c>
    </row>
    <row r="70" spans="3:81" ht="150.75" customHeight="1">
      <c r="C70" s="93"/>
      <c r="D70" s="93"/>
      <c r="E70" s="93"/>
      <c r="F70" s="93"/>
      <c r="G70" s="93"/>
      <c r="H70" s="248"/>
      <c r="R70" s="8" t="s">
        <v>152</v>
      </c>
      <c r="BN70" s="28">
        <v>5</v>
      </c>
      <c r="BO70" s="28">
        <v>1.375</v>
      </c>
      <c r="BP70" s="28">
        <v>7.375</v>
      </c>
      <c r="BQ70" s="28">
        <v>8</v>
      </c>
      <c r="BR70" s="28">
        <v>2.5</v>
      </c>
      <c r="BS70" s="28">
        <v>7.3129999999999997</v>
      </c>
      <c r="BT70" s="28">
        <v>5.5</v>
      </c>
      <c r="BU70" s="28">
        <v>2.3119999999999998</v>
      </c>
      <c r="BV70" s="28">
        <v>2.6880000000000002</v>
      </c>
      <c r="BW70" s="5" t="str">
        <f>IF(OR([1]Data!$B$3="lh",[1]Data!$B$3="a"),IF(AND([1]Data!$B$4=BN70,BO70=$B$15),IF(OR([1]Data!$B$5="mp1",[1]Data!$B$5="mp3"),BP70+$B$18,""),""),"")</f>
        <v/>
      </c>
      <c r="BX70" s="5" t="str">
        <f>IF(OR([1]Data!$B$3="lh",[1]Data!$B$3="a"),IF(AND([1]Data!$B$4=$BN70,$BO70=$B$15),IF([1]Data!$B$5="mp2",BQ70+$B$18,""),""),"")</f>
        <v/>
      </c>
      <c r="BY70" s="5" t="str">
        <f>IF(OR([1]Data!$B$3="lh",[1]Data!$B$3="a"),IF(AND([1]Data!$B$4=$BN70,$BO70=$B$15),IF([1]Data!$B$5="mt1",BR70,""),""),"")</f>
        <v/>
      </c>
      <c r="BZ70" s="5" t="str">
        <f>IF(OR([1]Data!$B$3="lh",[1]Data!$B$3="a"),IF(AND([1]Data!$B$4=$BN70,$BO70=$B$15),IF([1]Data!$B$5="mpu3",BS70+$B$18,""),""),"")</f>
        <v/>
      </c>
      <c r="CA70" s="5" t="str">
        <f>IF(OR([1]Data!$B$3="lh",[1]Data!$B$3="a"),IF(AND([1]Data!$B$4=$BN70,$BO70=$B$15),IF([1]Data!$B$5="mt2",BT70+$B$18,""),""),"")</f>
        <v/>
      </c>
      <c r="CB70" s="5" t="str">
        <f>IF(OR([1]Data!$B$3="lh",[1]Data!$B$3="a"),IF(AND([1]Data!$B$4=$BN70,$BO70=$B$15),IF([1]Data!$B$5="ms2",BU70,""),""),"")</f>
        <v/>
      </c>
      <c r="CC70" s="5" t="str">
        <f>IF(OR([1]Data!$B$3="lh",[1]Data!$B$3="a"),IF(AND([1]Data!$B$4=$BN70,$BO70=$B$15),IF([1]Data!$B$5="ms4",BV70,""),""),"")</f>
        <v/>
      </c>
    </row>
    <row r="71" spans="3:81" ht="138.75" customHeight="1">
      <c r="C71" s="93"/>
      <c r="D71" s="93"/>
      <c r="E71" s="93"/>
      <c r="F71" s="93"/>
      <c r="G71" s="93"/>
      <c r="H71" s="248"/>
      <c r="R71" s="8" t="s">
        <v>153</v>
      </c>
      <c r="BN71" s="28">
        <v>5</v>
      </c>
      <c r="BO71" s="5">
        <v>1.75</v>
      </c>
      <c r="BP71" s="5">
        <v>7.625</v>
      </c>
      <c r="BQ71" s="5">
        <v>8.25</v>
      </c>
      <c r="BR71" s="5">
        <v>2.75</v>
      </c>
      <c r="BS71" s="5">
        <v>7.5629999999999997</v>
      </c>
      <c r="BT71" s="5">
        <v>5.75</v>
      </c>
      <c r="BU71" s="5">
        <v>2.5619999999999998</v>
      </c>
      <c r="BV71" s="5">
        <v>2.9369999999999998</v>
      </c>
      <c r="BW71" s="5" t="str">
        <f>IF(OR([1]Data!$B$3="lh",[1]Data!$B$3="a"),IF(AND([1]Data!$B$4=BN71,BO71=$B$15),IF(OR([1]Data!$B$5="mp1",[1]Data!$B$5="mp3"),BP71+$B$18,""),""),"")</f>
        <v/>
      </c>
      <c r="BX71" s="5" t="str">
        <f>IF(OR([1]Data!$B$3="lh",[1]Data!$B$3="a"),IF(AND([1]Data!$B$4=$BN71,$BO71=$B$15),IF([1]Data!$B$5="mp2",BQ71+$B$18,""),""),"")</f>
        <v/>
      </c>
      <c r="BY71" s="5" t="str">
        <f>IF(OR([1]Data!$B$3="lh",[1]Data!$B$3="a"),IF(AND([1]Data!$B$4=$BN71,$BO71=$B$15),IF([1]Data!$B$5="mt1",BR71,""),""),"")</f>
        <v/>
      </c>
      <c r="BZ71" s="5" t="str">
        <f>IF(OR([1]Data!$B$3="lh",[1]Data!$B$3="a"),IF(AND([1]Data!$B$4=$BN71,$BO71=$B$15),IF([1]Data!$B$5="mpu3",BS71+$B$18,""),""),"")</f>
        <v/>
      </c>
      <c r="CA71" s="5" t="str">
        <f>IF(OR([1]Data!$B$3="lh",[1]Data!$B$3="a"),IF(AND([1]Data!$B$4=$BN71,$BO71=$B$15),IF([1]Data!$B$5="mt2",BT71+$B$18,""),""),"")</f>
        <v/>
      </c>
      <c r="CB71" s="5" t="str">
        <f>IF(OR([1]Data!$B$3="lh",[1]Data!$B$3="a"),IF(AND([1]Data!$B$4=$BN71,$BO71=$B$15),IF([1]Data!$B$5="ms2",BU71,""),""),"")</f>
        <v/>
      </c>
      <c r="CC71" s="5" t="str">
        <f>IF(OR([1]Data!$B$3="lh",[1]Data!$B$3="a"),IF(AND([1]Data!$B$4=$BN71,$BO71=$B$15),IF([1]Data!$B$5="ms4",BV71,""),""),"")</f>
        <v/>
      </c>
    </row>
    <row r="72" spans="3:81" ht="119.25" customHeight="1">
      <c r="C72" s="93"/>
      <c r="D72" s="93"/>
      <c r="E72" s="93"/>
      <c r="F72" s="93"/>
      <c r="G72" s="93"/>
      <c r="H72" s="248"/>
      <c r="R72" s="8" t="s">
        <v>154</v>
      </c>
      <c r="BN72" s="28">
        <v>5</v>
      </c>
      <c r="BO72" s="5">
        <v>2</v>
      </c>
      <c r="BP72" s="5">
        <v>7.75</v>
      </c>
      <c r="BQ72" s="5">
        <v>8.3800000000000008</v>
      </c>
      <c r="BR72" s="5">
        <v>2.875</v>
      </c>
      <c r="BS72" s="5">
        <v>7.6879999999999997</v>
      </c>
      <c r="BT72" s="5">
        <v>5.875</v>
      </c>
      <c r="BU72" s="5">
        <v>2.6880000000000002</v>
      </c>
      <c r="BV72" s="5">
        <v>3.0619999999999998</v>
      </c>
      <c r="BW72" s="5" t="str">
        <f>IF(OR([1]Data!$B$3="lh",[1]Data!$B$3="a"),IF(AND([1]Data!$B$4=BN72,BO72=$B$15),IF(OR([1]Data!$B$5="mp1",[1]Data!$B$5="mp3"),BP72+$B$18,""),""),"")</f>
        <v/>
      </c>
      <c r="BX72" s="5" t="str">
        <f>IF(OR([1]Data!$B$3="lh",[1]Data!$B$3="a"),IF(AND([1]Data!$B$4=$BN72,$BO72=$B$15),IF([1]Data!$B$5="mp2",BQ72+$B$18,""),""),"")</f>
        <v/>
      </c>
      <c r="BY72" s="5" t="str">
        <f>IF(OR([1]Data!$B$3="lh",[1]Data!$B$3="a"),IF(AND([1]Data!$B$4=$BN72,$BO72=$B$15),IF([1]Data!$B$5="mt1",BR72,""),""),"")</f>
        <v/>
      </c>
      <c r="BZ72" s="5" t="str">
        <f>IF(OR([1]Data!$B$3="lh",[1]Data!$B$3="a"),IF(AND([1]Data!$B$4=$BN72,$BO72=$B$15),IF([1]Data!$B$5="mpu3",BS72+$B$18,""),""),"")</f>
        <v/>
      </c>
      <c r="CA72" s="5" t="str">
        <f>IF(OR([1]Data!$B$3="lh",[1]Data!$B$3="a"),IF(AND([1]Data!$B$4=$BN72,$BO72=$B$15),IF([1]Data!$B$5="mt2",BT72+$B$18,""),""),"")</f>
        <v/>
      </c>
      <c r="CB72" s="5" t="str">
        <f>IF(OR([1]Data!$B$3="lh",[1]Data!$B$3="a"),IF(AND([1]Data!$B$4=$BN72,$BO72=$B$15),IF([1]Data!$B$5="ms2",BU72,""),""),"")</f>
        <v/>
      </c>
      <c r="CC72" s="5" t="str">
        <f>IF(OR([1]Data!$B$3="lh",[1]Data!$B$3="a"),IF(AND([1]Data!$B$4=$BN72,$BO72=$B$15),IF([1]Data!$B$5="ms4",BV72,""),""),"")</f>
        <v/>
      </c>
    </row>
    <row r="73" spans="3:81" ht="118.5" customHeight="1">
      <c r="C73" s="93"/>
      <c r="D73" s="93"/>
      <c r="E73" s="93"/>
      <c r="F73" s="93"/>
      <c r="G73" s="93"/>
      <c r="H73" s="248"/>
      <c r="R73" s="8" t="s">
        <v>155</v>
      </c>
      <c r="BN73" s="5">
        <v>6</v>
      </c>
      <c r="BO73" s="5">
        <v>1.375</v>
      </c>
      <c r="BP73" s="5">
        <v>8.125</v>
      </c>
      <c r="BQ73" s="5">
        <v>8.8800000000000008</v>
      </c>
      <c r="BR73" s="5">
        <v>2.625</v>
      </c>
      <c r="BS73" s="5">
        <v>8.1869999999999994</v>
      </c>
      <c r="BT73" s="5">
        <v>5.875</v>
      </c>
      <c r="BU73" s="5">
        <v>2.3119999999999998</v>
      </c>
      <c r="BV73" s="5">
        <v>2.8130000000000002</v>
      </c>
      <c r="BW73" s="5" t="str">
        <f>IF(OR([1]Data!$B$3="lh",[1]Data!$B$3="a"),IF(AND([1]Data!$B$4=BN73,BO73=$B$15),IF(OR([1]Data!$B$5="mp1",[1]Data!$B$5="mp3"),BP73+$B$18,""),""),"")</f>
        <v/>
      </c>
      <c r="BX73" s="5" t="str">
        <f>IF(OR([1]Data!$B$3="lh",[1]Data!$B$3="a"),IF(AND([1]Data!$B$4=$BN73,$BO73=$B$15),IF([1]Data!$B$5="mp2",BQ73+$B$18,""),""),"")</f>
        <v/>
      </c>
      <c r="BY73" s="5" t="str">
        <f>IF(OR([1]Data!$B$3="lh",[1]Data!$B$3="a"),IF(AND([1]Data!$B$4=$BN73,$BO73=$B$15),IF([1]Data!$B$5="mt1",BR73,""),""),"")</f>
        <v/>
      </c>
      <c r="BZ73" s="5" t="str">
        <f>IF(OR([1]Data!$B$3="lh",[1]Data!$B$3="a"),IF(AND([1]Data!$B$4=$BN73,$BO73=$B$15),IF([1]Data!$B$5="mpu3",BS73+$B$18,""),""),"")</f>
        <v/>
      </c>
      <c r="CA73" s="5" t="str">
        <f>IF(OR([1]Data!$B$3="lh",[1]Data!$B$3="a"),IF(AND([1]Data!$B$4=$BN73,$BO73=$B$15),IF([1]Data!$B$5="mt2",BT73+$B$18,""),""),"")</f>
        <v/>
      </c>
      <c r="CB73" s="5" t="str">
        <f>IF(OR([1]Data!$B$3="lh",[1]Data!$B$3="a"),IF(AND([1]Data!$B$4=$BN73,$BO73=$B$15),IF([1]Data!$B$5="ms2",BU73,""),""),"")</f>
        <v/>
      </c>
      <c r="CC73" s="5" t="str">
        <f>IF(OR([1]Data!$B$3="lh",[1]Data!$B$3="a"),IF(AND([1]Data!$B$4=$BN73,$BO73=$B$15),IF([1]Data!$B$5="ms4",BV73,""),""),"")</f>
        <v/>
      </c>
    </row>
    <row r="74" spans="3:81" ht="120" customHeight="1">
      <c r="C74" s="93"/>
      <c r="D74" s="93"/>
      <c r="E74" s="93"/>
      <c r="F74" s="93"/>
      <c r="G74" s="93"/>
      <c r="H74" s="248"/>
      <c r="R74" s="8" t="s">
        <v>156</v>
      </c>
      <c r="BN74" s="5">
        <v>6</v>
      </c>
      <c r="BO74" s="5">
        <v>1.75</v>
      </c>
      <c r="BP74" s="5">
        <v>8.375</v>
      </c>
      <c r="BQ74" s="5">
        <v>9.1300000000000008</v>
      </c>
      <c r="BR74" s="5">
        <v>2.875</v>
      </c>
      <c r="BS74" s="5">
        <v>8.4369999999999994</v>
      </c>
      <c r="BT74" s="5">
        <v>6.125</v>
      </c>
      <c r="BU74" s="5">
        <v>2.5619999999999998</v>
      </c>
      <c r="BV74" s="5">
        <v>3.0619999999999998</v>
      </c>
      <c r="BW74" s="5" t="str">
        <f>IF(OR([1]Data!$B$3="lh",[1]Data!$B$3="a"),IF(AND([1]Data!$B$4=BN74,BO74=$B$15),IF(OR([1]Data!$B$5="mp1",[1]Data!$B$5="mp3"),BP74+$B$18,""),""),"")</f>
        <v/>
      </c>
      <c r="BX74" s="5" t="str">
        <f>IF(OR([1]Data!$B$3="lh",[1]Data!$B$3="a"),IF(AND([1]Data!$B$4=$BN74,$BO74=$B$15),IF([1]Data!$B$5="mp2",BQ74+$B$18,""),""),"")</f>
        <v/>
      </c>
      <c r="BY74" s="5" t="str">
        <f>IF(OR([1]Data!$B$3="lh",[1]Data!$B$3="a"),IF(AND([1]Data!$B$4=$BN74,$BO74=$B$15),IF([1]Data!$B$5="mt1",BR74,""),""),"")</f>
        <v/>
      </c>
      <c r="BZ74" s="5" t="str">
        <f>IF(OR([1]Data!$B$3="lh",[1]Data!$B$3="a"),IF(AND([1]Data!$B$4=$BN74,$BO74=$B$15),IF([1]Data!$B$5="mpu3",BS74+$B$18,""),""),"")</f>
        <v/>
      </c>
      <c r="CA74" s="5" t="str">
        <f>IF(OR([1]Data!$B$3="lh",[1]Data!$B$3="a"),IF(AND([1]Data!$B$4=$BN74,$BO74=$B$15),IF([1]Data!$B$5="mt2",BT74+$B$18,""),""),"")</f>
        <v/>
      </c>
      <c r="CB74" s="5" t="str">
        <f>IF(OR([1]Data!$B$3="lh",[1]Data!$B$3="a"),IF(AND([1]Data!$B$4=$BN74,$BO74=$B$15),IF([1]Data!$B$5="ms2",BU74,""),""),"")</f>
        <v/>
      </c>
      <c r="CC74" s="5" t="str">
        <f>IF(OR([1]Data!$B$3="lh",[1]Data!$B$3="a"),IF(AND([1]Data!$B$4=$BN74,$BO74=$B$15),IF([1]Data!$B$5="ms4",BV74,""),""),"")</f>
        <v/>
      </c>
    </row>
    <row r="75" spans="3:81" ht="120.75" customHeight="1">
      <c r="C75" s="93"/>
      <c r="D75" s="93"/>
      <c r="E75" s="93"/>
      <c r="F75" s="93"/>
      <c r="G75" s="93"/>
      <c r="H75" s="248"/>
      <c r="R75" s="8" t="s">
        <v>157</v>
      </c>
      <c r="BN75" s="5">
        <v>6</v>
      </c>
      <c r="BO75" s="5">
        <v>2</v>
      </c>
      <c r="BP75" s="5">
        <v>8.5</v>
      </c>
      <c r="BQ75" s="5">
        <v>9.25</v>
      </c>
      <c r="BR75" s="5">
        <v>3</v>
      </c>
      <c r="BS75" s="5">
        <v>8.5619999999999994</v>
      </c>
      <c r="BT75" s="5">
        <v>6.25</v>
      </c>
      <c r="BU75" s="5">
        <v>2.6880000000000002</v>
      </c>
      <c r="BV75" s="5">
        <v>3.1880000000000002</v>
      </c>
      <c r="BW75" s="5" t="str">
        <f>IF(OR([1]Data!$B$3="lh",[1]Data!$B$3="a"),IF(AND([1]Data!$B$4=BN75,BO75=$B$15),IF(OR([1]Data!$B$5="mp1",[1]Data!$B$5="mp3"),BP75+$B$18,""),""),"")</f>
        <v/>
      </c>
      <c r="BX75" s="5" t="str">
        <f>IF(OR([1]Data!$B$3="lh",[1]Data!$B$3="a"),IF(AND([1]Data!$B$4=$BN75,$BO75=$B$15),IF([1]Data!$B$5="mp2",BQ75+$B$18,""),""),"")</f>
        <v/>
      </c>
      <c r="BY75" s="5" t="str">
        <f>IF(OR([1]Data!$B$3="lh",[1]Data!$B$3="a"),IF(AND([1]Data!$B$4=$BN75,$BO75=$B$15),IF([1]Data!$B$5="mt1",BR75,""),""),"")</f>
        <v/>
      </c>
      <c r="BZ75" s="5" t="str">
        <f>IF(OR([1]Data!$B$3="lh",[1]Data!$B$3="a"),IF(AND([1]Data!$B$4=$BN75,$BO75=$B$15),IF([1]Data!$B$5="mpu3",BS75+$B$18,""),""),"")</f>
        <v/>
      </c>
      <c r="CA75" s="5" t="str">
        <f>IF(OR([1]Data!$B$3="lh",[1]Data!$B$3="a"),IF(AND([1]Data!$B$4=$BN75,$BO75=$B$15),IF([1]Data!$B$5="mt2",BT75+$B$18,""),""),"")</f>
        <v/>
      </c>
      <c r="CB75" s="5" t="str">
        <f>IF(OR([1]Data!$B$3="lh",[1]Data!$B$3="a"),IF(AND([1]Data!$B$4=$BN75,$BO75=$B$15),IF([1]Data!$B$5="ms2",BU75,""),""),"")</f>
        <v/>
      </c>
      <c r="CC75" s="5" t="str">
        <f>IF(OR([1]Data!$B$3="lh",[1]Data!$B$3="a"),IF(AND([1]Data!$B$4=$BN75,$BO75=$B$15),IF([1]Data!$B$5="ms4",BV75,""),""),"")</f>
        <v/>
      </c>
    </row>
    <row r="76" spans="3:81">
      <c r="C76" s="93"/>
      <c r="D76" s="93"/>
      <c r="E76" s="93"/>
      <c r="F76" s="93"/>
      <c r="G76" s="93"/>
      <c r="H76" s="248"/>
      <c r="BN76" s="5">
        <v>6</v>
      </c>
      <c r="BO76" s="5">
        <v>2.5</v>
      </c>
      <c r="BP76" s="5">
        <v>8.75</v>
      </c>
      <c r="BQ76" s="5">
        <v>9.5</v>
      </c>
      <c r="BR76" s="5">
        <v>3.25</v>
      </c>
      <c r="BS76" s="5">
        <v>8.8119999999999994</v>
      </c>
      <c r="BT76" s="5">
        <v>6.5</v>
      </c>
      <c r="BU76" s="5">
        <v>2.9369999999999998</v>
      </c>
      <c r="BV76" s="5">
        <v>3.4369999999999998</v>
      </c>
      <c r="BW76" s="5" t="str">
        <f>IF(OR([1]Data!$B$3="lh",[1]Data!$B$3="a"),IF(AND([1]Data!$B$4=BN76,BO76=$B$15),IF(OR([1]Data!$B$5="mp1",[1]Data!$B$5="mp3"),BP76+$B$18,""),""),"")</f>
        <v/>
      </c>
      <c r="BX76" s="5" t="str">
        <f>IF(OR([1]Data!$B$3="lh",[1]Data!$B$3="a"),IF(AND([1]Data!$B$4=$BN76,$BO76=$B$15),IF([1]Data!$B$5="mp2",BQ76+$B$18,""),""),"")</f>
        <v/>
      </c>
      <c r="BY76" s="5" t="str">
        <f>IF(OR([1]Data!$B$3="lh",[1]Data!$B$3="a"),IF(AND([1]Data!$B$4=$BN76,$BO76=$B$15),IF([1]Data!$B$5="mt1",BR76,""),""),"")</f>
        <v/>
      </c>
      <c r="BZ76" s="5" t="str">
        <f>IF(OR([1]Data!$B$3="lh",[1]Data!$B$3="a"),IF(AND([1]Data!$B$4=$BN76,$BO76=$B$15),IF([1]Data!$B$5="mpu3",BS76+$B$18,""),""),"")</f>
        <v/>
      </c>
      <c r="CA76" s="5" t="str">
        <f>IF(OR([1]Data!$B$3="lh",[1]Data!$B$3="a"),IF(AND([1]Data!$B$4=$BN76,$BO76=$B$15),IF([1]Data!$B$5="mt2",BT76+$B$18,""),""),"")</f>
        <v/>
      </c>
      <c r="CB76" s="5" t="str">
        <f>IF(OR([1]Data!$B$3="lh",[1]Data!$B$3="a"),IF(AND([1]Data!$B$4=$BN76,$BO76=$B$15),IF([1]Data!$B$5="ms2",BU76,""),""),"")</f>
        <v/>
      </c>
      <c r="CC76" s="5" t="str">
        <f>IF(OR([1]Data!$B$3="lh",[1]Data!$B$3="a"),IF(AND([1]Data!$B$4=$BN76,$BO76=$B$15),IF([1]Data!$B$5="ms4",BV76,""),""),"")</f>
        <v/>
      </c>
    </row>
    <row r="77" spans="3:81">
      <c r="C77" s="93"/>
      <c r="D77" s="93"/>
      <c r="E77" s="93"/>
      <c r="F77" s="93"/>
      <c r="G77" s="93"/>
      <c r="H77" s="248"/>
      <c r="BN77" s="5">
        <v>7</v>
      </c>
      <c r="BO77" s="5">
        <v>1.375</v>
      </c>
      <c r="BP77" s="5">
        <v>8.25</v>
      </c>
      <c r="BR77" s="5">
        <v>2.625</v>
      </c>
      <c r="BT77" s="5">
        <v>6</v>
      </c>
      <c r="BU77" s="5">
        <v>2.3119999999999998</v>
      </c>
      <c r="BV77" s="5">
        <v>2.8130000000000002</v>
      </c>
      <c r="BW77" s="5" t="str">
        <f>IF(OR([1]Data!$B$3="lh",[1]Data!$B$3="a"),IF(AND([1]Data!$B$4=BN77,BO77=$B$15),IF(OR([1]Data!$B$5="mp1",[1]Data!$B$5="mp3"),BP77+$B$18,""),""),"")</f>
        <v/>
      </c>
      <c r="BX77" s="5" t="str">
        <f>IF(OR([1]Data!$B$3="lh",[1]Data!$B$3="a"),IF(AND([1]Data!$B$4=$BN77,$BO77=$B$15),IF([1]Data!$B$5="mp2",BQ77+$B$18,""),""),"")</f>
        <v/>
      </c>
      <c r="BY77" s="5" t="str">
        <f>IF(OR([1]Data!$B$3="lh",[1]Data!$B$3="a"),IF(AND([1]Data!$B$4=$BN77,$BO77=$B$15),IF([1]Data!$B$5="mt1",BR77,""),""),"")</f>
        <v/>
      </c>
      <c r="BZ77" s="5" t="str">
        <f>IF(OR([1]Data!$B$3="lh",[1]Data!$B$3="a"),IF(AND([1]Data!$B$4=$BN77,$BO77=$B$15),IF([1]Data!$B$5="mpu3",BS77+$B$18,""),""),"")</f>
        <v/>
      </c>
      <c r="CA77" s="5" t="str">
        <f>IF(OR([1]Data!$B$3="lh",[1]Data!$B$3="a"),IF(AND([1]Data!$B$4=$BN77,$BO77=$B$15),IF([1]Data!$B$5="mt2",BT77+$B$18,""),""),"")</f>
        <v/>
      </c>
      <c r="CB77" s="5" t="str">
        <f>IF(OR([1]Data!$B$3="lh",[1]Data!$B$3="a"),IF(AND([1]Data!$B$4=$BN77,$BO77=$B$15),IF([1]Data!$B$5="ms2",BU77,""),""),"")</f>
        <v/>
      </c>
      <c r="CC77" s="5" t="str">
        <f>IF(OR([1]Data!$B$3="lh",[1]Data!$B$3="a"),IF(AND([1]Data!$B$4=$BN77,$BO77=$B$15),IF([1]Data!$B$5="ms4",BV77,""),""),"")</f>
        <v/>
      </c>
    </row>
    <row r="78" spans="3:81">
      <c r="C78" s="93"/>
      <c r="D78" s="93"/>
      <c r="E78" s="93"/>
      <c r="F78" s="93"/>
      <c r="G78" s="93"/>
      <c r="H78" s="248"/>
      <c r="BN78" s="5">
        <v>7</v>
      </c>
      <c r="BO78" s="5">
        <v>1.75</v>
      </c>
      <c r="BP78" s="5">
        <v>8.5</v>
      </c>
      <c r="BR78" s="5">
        <v>2.875</v>
      </c>
      <c r="BT78" s="5">
        <v>6.25</v>
      </c>
      <c r="BU78" s="5">
        <v>2.5619999999999998</v>
      </c>
      <c r="BV78" s="5">
        <v>3.0619999999999998</v>
      </c>
      <c r="BW78" s="5" t="str">
        <f>IF(OR([1]Data!$B$3="lh",[1]Data!$B$3="a"),IF(AND([1]Data!$B$4=BN78,BO78=$B$15),IF(OR([1]Data!$B$5="mp1",[1]Data!$B$5="mp3"),BP78+$B$18,""),""),"")</f>
        <v/>
      </c>
      <c r="BX78" s="5" t="str">
        <f>IF(OR([1]Data!$B$3="lh",[1]Data!$B$3="a"),IF(AND([1]Data!$B$4=$BN78,$BO78=$B$15),IF([1]Data!$B$5="mp2",BQ78+$B$18,""),""),"")</f>
        <v/>
      </c>
      <c r="BY78" s="5" t="str">
        <f>IF(OR([1]Data!$B$3="lh",[1]Data!$B$3="a"),IF(AND([1]Data!$B$4=$BN78,$BO78=$B$15),IF([1]Data!$B$5="mt1",BR78,""),""),"")</f>
        <v/>
      </c>
      <c r="BZ78" s="5" t="str">
        <f>IF(OR([1]Data!$B$3="lh",[1]Data!$B$3="a"),IF(AND([1]Data!$B$4=$BN78,$BO78=$B$15),IF([1]Data!$B$5="mpu3",BS78+$B$18,""),""),"")</f>
        <v/>
      </c>
      <c r="CA78" s="5" t="str">
        <f>IF(OR([1]Data!$B$3="lh",[1]Data!$B$3="a"),IF(AND([1]Data!$B$4=$BN78,$BO78=$B$15),IF([1]Data!$B$5="mt2",BT78+$B$18,""),""),"")</f>
        <v/>
      </c>
      <c r="CB78" s="5" t="str">
        <f>IF(OR([1]Data!$B$3="lh",[1]Data!$B$3="a"),IF(AND([1]Data!$B$4=$BN78,$BO78=$B$15),IF([1]Data!$B$5="ms2",BU78,""),""),"")</f>
        <v/>
      </c>
      <c r="CC78" s="5" t="str">
        <f>IF(OR([1]Data!$B$3="lh",[1]Data!$B$3="a"),IF(AND([1]Data!$B$4=$BN78,$BO78=$B$15),IF([1]Data!$B$5="ms4",BV78,""),""),"")</f>
        <v/>
      </c>
    </row>
    <row r="79" spans="3:81">
      <c r="C79" s="93"/>
      <c r="D79" s="93"/>
      <c r="E79" s="93"/>
      <c r="F79" s="93"/>
      <c r="G79" s="93"/>
      <c r="H79" s="248"/>
      <c r="BN79" s="5">
        <v>7</v>
      </c>
      <c r="BO79" s="5">
        <v>2</v>
      </c>
      <c r="BP79" s="5">
        <v>8.625</v>
      </c>
      <c r="BR79" s="5">
        <v>3</v>
      </c>
      <c r="BT79" s="5">
        <v>6.375</v>
      </c>
      <c r="BU79" s="5">
        <v>2.6880000000000002</v>
      </c>
      <c r="BV79" s="5">
        <v>3.1880000000000002</v>
      </c>
      <c r="BW79" s="5" t="str">
        <f>IF(OR([1]Data!$B$3="lh",[1]Data!$B$3="a"),IF(AND([1]Data!$B$4=BN79,BO79=$B$15),IF(OR([1]Data!$B$5="mp1",[1]Data!$B$5="mp3"),BP79+$B$18,""),""),"")</f>
        <v/>
      </c>
      <c r="BX79" s="5" t="str">
        <f>IF(OR([1]Data!$B$3="lh",[1]Data!$B$3="a"),IF(AND([1]Data!$B$4=$BN79,$BO79=$B$15),IF([1]Data!$B$5="mp2",BQ79+$B$18,""),""),"")</f>
        <v/>
      </c>
      <c r="BY79" s="5" t="str">
        <f>IF(OR([1]Data!$B$3="lh",[1]Data!$B$3="a"),IF(AND([1]Data!$B$4=$BN79,$BO79=$B$15),IF([1]Data!$B$5="mt1",BR79,""),""),"")</f>
        <v/>
      </c>
      <c r="BZ79" s="5" t="str">
        <f>IF(OR([1]Data!$B$3="lh",[1]Data!$B$3="a"),IF(AND([1]Data!$B$4=$BN79,$BO79=$B$15),IF([1]Data!$B$5="mpu3",BS79+$B$18,""),""),"")</f>
        <v/>
      </c>
      <c r="CA79" s="5" t="str">
        <f>IF(OR([1]Data!$B$3="lh",[1]Data!$B$3="a"),IF(AND([1]Data!$B$4=$BN79,$BO79=$B$15),IF([1]Data!$B$5="mt2",BT79+$B$18,""),""),"")</f>
        <v/>
      </c>
      <c r="CB79" s="5" t="str">
        <f>IF(OR([1]Data!$B$3="lh",[1]Data!$B$3="a"),IF(AND([1]Data!$B$4=$BN79,$BO79=$B$15),IF([1]Data!$B$5="ms2",BU79,""),""),"")</f>
        <v/>
      </c>
      <c r="CC79" s="5" t="str">
        <f>IF(OR([1]Data!$B$3="lh",[1]Data!$B$3="a"),IF(AND([1]Data!$B$4=$BN79,$BO79=$B$15),IF([1]Data!$B$5="ms4",BV79,""),""),"")</f>
        <v/>
      </c>
    </row>
    <row r="80" spans="3:81">
      <c r="C80" s="93"/>
      <c r="D80" s="93"/>
      <c r="E80" s="93"/>
      <c r="F80" s="93"/>
      <c r="G80" s="93"/>
      <c r="H80" s="248"/>
      <c r="BN80" s="5">
        <v>7</v>
      </c>
      <c r="BO80" s="5">
        <v>2.5</v>
      </c>
      <c r="BP80" s="5">
        <v>8.875</v>
      </c>
      <c r="BR80" s="5">
        <v>3.25</v>
      </c>
      <c r="BT80" s="5">
        <v>6.625</v>
      </c>
      <c r="BU80" s="5">
        <v>2.9369999999999998</v>
      </c>
      <c r="BV80" s="5">
        <v>3.4369999999999998</v>
      </c>
      <c r="BW80" s="5" t="str">
        <f>IF(OR([1]Data!$B$3="lh",[1]Data!$B$3="a"),IF(AND([1]Data!$B$4=BN80,BO80=$B$15),IF(OR([1]Data!$B$5="mp1",[1]Data!$B$5="mp3"),BP80+$B$18,""),""),"")</f>
        <v/>
      </c>
      <c r="BX80" s="5" t="str">
        <f>IF(OR([1]Data!$B$3="lh",[1]Data!$B$3="a"),IF(AND([1]Data!$B$4=$BN80,$BO80=$B$15),IF([1]Data!$B$5="mp2",BQ80+$B$18,""),""),"")</f>
        <v/>
      </c>
      <c r="BY80" s="5" t="str">
        <f>IF(OR([1]Data!$B$3="lh",[1]Data!$B$3="a"),IF(AND([1]Data!$B$4=$BN80,$BO80=$B$15),IF([1]Data!$B$5="mt1",BR80,""),""),"")</f>
        <v/>
      </c>
      <c r="BZ80" s="5" t="str">
        <f>IF(OR([1]Data!$B$3="lh",[1]Data!$B$3="a"),IF(AND([1]Data!$B$4=$BN80,$BO80=$B$15),IF([1]Data!$B$5="mpu3",BS80+$B$18,""),""),"")</f>
        <v/>
      </c>
      <c r="CA80" s="5" t="str">
        <f>IF(OR([1]Data!$B$3="lh",[1]Data!$B$3="a"),IF(AND([1]Data!$B$4=$BN80,$BO80=$B$15),IF([1]Data!$B$5="mt2",BT80+$B$18,""),""),"")</f>
        <v/>
      </c>
      <c r="CB80" s="5" t="str">
        <f>IF(OR([1]Data!$B$3="lh",[1]Data!$B$3="a"),IF(AND([1]Data!$B$4=$BN80,$BO80=$B$15),IF([1]Data!$B$5="ms2",BU80,""),""),"")</f>
        <v/>
      </c>
      <c r="CC80" s="5" t="str">
        <f>IF(OR([1]Data!$B$3="lh",[1]Data!$B$3="a"),IF(AND([1]Data!$B$4=$BN80,$BO80=$B$15),IF([1]Data!$B$5="ms4",BV80,""),""),"")</f>
        <v/>
      </c>
    </row>
    <row r="81" spans="3:81">
      <c r="C81" s="93"/>
      <c r="D81" s="93"/>
      <c r="E81" s="93"/>
      <c r="F81" s="93"/>
      <c r="G81" s="93"/>
      <c r="H81" s="248"/>
      <c r="BN81" s="5">
        <v>8</v>
      </c>
      <c r="BO81" s="5">
        <v>1.375</v>
      </c>
      <c r="BP81" s="5">
        <v>8.25</v>
      </c>
      <c r="BR81" s="5">
        <v>2.625</v>
      </c>
      <c r="BT81" s="5">
        <v>6</v>
      </c>
      <c r="BU81" s="5">
        <v>2.3119999999999998</v>
      </c>
      <c r="BV81" s="5">
        <v>2.8130000000000002</v>
      </c>
      <c r="BW81" s="5" t="str">
        <f>IF(OR([1]Data!$B$3="lh",[1]Data!$B$3="a"),IF(AND([1]Data!$B$4=BN81,BO81=$B$15),IF(OR([1]Data!$B$5="mp1",[1]Data!$B$5="mp3"),BP81+$B$18,""),""),"")</f>
        <v/>
      </c>
      <c r="BX81" s="5" t="str">
        <f>IF(OR([1]Data!$B$3="lh",[1]Data!$B$3="a"),IF(AND([1]Data!$B$4=$BN81,$BO81=$B$15),IF([1]Data!$B$5="mp2",BQ81+$B$18,""),""),"")</f>
        <v/>
      </c>
      <c r="BY81" s="5" t="str">
        <f>IF(OR([1]Data!$B$3="lh",[1]Data!$B$3="a"),IF(AND([1]Data!$B$4=$BN81,$BO81=$B$15),IF([1]Data!$B$5="mt1",BR81,""),""),"")</f>
        <v/>
      </c>
      <c r="BZ81" s="5" t="str">
        <f>IF(OR([1]Data!$B$3="lh",[1]Data!$B$3="a"),IF(AND([1]Data!$B$4=$BN81,$BO81=$B$15),IF([1]Data!$B$5="mpu3",BS81+$B$18,""),""),"")</f>
        <v/>
      </c>
      <c r="CA81" s="5" t="str">
        <f>IF(OR([1]Data!$B$3="lh",[1]Data!$B$3="a"),IF(AND([1]Data!$B$4=$BN81,$BO81=$B$15),IF([1]Data!$B$5="mt2",BT81+$B$18,""),""),"")</f>
        <v/>
      </c>
      <c r="CB81" s="5" t="str">
        <f>IF(OR([1]Data!$B$3="lh",[1]Data!$B$3="a"),IF(AND([1]Data!$B$4=$BN81,$BO81=$B$15),IF([1]Data!$B$5="ms2",BU81,""),""),"")</f>
        <v/>
      </c>
      <c r="CC81" s="5" t="str">
        <f>IF(OR([1]Data!$B$3="lh",[1]Data!$B$3="a"),IF(AND([1]Data!$B$4=$BN81,$BO81=$B$15),IF([1]Data!$B$5="ms4",BV81,""),""),"")</f>
        <v/>
      </c>
    </row>
    <row r="82" spans="3:81">
      <c r="C82" s="93"/>
      <c r="D82" s="93"/>
      <c r="E82" s="93"/>
      <c r="F82" s="93"/>
      <c r="G82" s="93"/>
      <c r="H82" s="248"/>
      <c r="BN82" s="5">
        <v>8</v>
      </c>
      <c r="BO82" s="5">
        <v>1.75</v>
      </c>
      <c r="BP82" s="5">
        <v>8.5</v>
      </c>
      <c r="BR82" s="5">
        <v>2.875</v>
      </c>
      <c r="BT82" s="5">
        <v>6.25</v>
      </c>
      <c r="BU82" s="5">
        <v>2.5619999999999998</v>
      </c>
      <c r="BV82" s="5">
        <v>3.0619999999999998</v>
      </c>
      <c r="BW82" s="5" t="str">
        <f>IF(OR([1]Data!$B$3="lh",[1]Data!$B$3="a"),IF(AND([1]Data!$B$4=BN82,BO82=$B$15),IF(OR([1]Data!$B$5="mp1",[1]Data!$B$5="mp3"),BP82+$B$18,""),""),"")</f>
        <v/>
      </c>
      <c r="BX82" s="5" t="str">
        <f>IF(OR([1]Data!$B$3="lh",[1]Data!$B$3="a"),IF(AND([1]Data!$B$4=$BN82,$BO82=$B$15),IF([1]Data!$B$5="mp2",BQ82+$B$18,""),""),"")</f>
        <v/>
      </c>
      <c r="BY82" s="5" t="str">
        <f>IF(OR([1]Data!$B$3="lh",[1]Data!$B$3="a"),IF(AND([1]Data!$B$4=$BN82,$BO82=$B$15),IF([1]Data!$B$5="mt1",BR82,""),""),"")</f>
        <v/>
      </c>
      <c r="BZ82" s="5" t="str">
        <f>IF(OR([1]Data!$B$3="lh",[1]Data!$B$3="a"),IF(AND([1]Data!$B$4=$BN82,$BO82=$B$15),IF([1]Data!$B$5="mpu3",BS82+$B$18,""),""),"")</f>
        <v/>
      </c>
      <c r="CA82" s="5" t="str">
        <f>IF(OR([1]Data!$B$3="lh",[1]Data!$B$3="a"),IF(AND([1]Data!$B$4=$BN82,$BO82=$B$15),IF([1]Data!$B$5="mt2",BT82+$B$18,""),""),"")</f>
        <v/>
      </c>
      <c r="CB82" s="5" t="str">
        <f>IF(OR([1]Data!$B$3="lh",[1]Data!$B$3="a"),IF(AND([1]Data!$B$4=$BN82,$BO82=$B$15),IF([1]Data!$B$5="ms2",BU82,""),""),"")</f>
        <v/>
      </c>
      <c r="CC82" s="5" t="str">
        <f>IF(OR([1]Data!$B$3="lh",[1]Data!$B$3="a"),IF(AND([1]Data!$B$4=$BN82,$BO82=$B$15),IF([1]Data!$B$5="ms4",BV82,""),""),"")</f>
        <v/>
      </c>
    </row>
    <row r="83" spans="3:81">
      <c r="C83" s="93"/>
      <c r="D83" s="93"/>
      <c r="E83" s="93"/>
      <c r="F83" s="93"/>
      <c r="G83" s="93"/>
      <c r="H83" s="248"/>
      <c r="BN83" s="5">
        <v>8</v>
      </c>
      <c r="BO83" s="5">
        <v>2</v>
      </c>
      <c r="BP83" s="5">
        <v>8.625</v>
      </c>
      <c r="BR83" s="5">
        <v>3</v>
      </c>
      <c r="BT83" s="5">
        <v>6.375</v>
      </c>
      <c r="BU83" s="5">
        <v>2.6880000000000002</v>
      </c>
      <c r="BV83" s="5">
        <v>3.1880000000000002</v>
      </c>
      <c r="BW83" s="5" t="str">
        <f>IF(OR([1]Data!$B$3="lh",[1]Data!$B$3="a"),IF(AND([1]Data!$B$4=BN83,BO83=$B$15),IF(OR([1]Data!$B$5="mp1",[1]Data!$B$5="mp3"),BP83+$B$18,""),""),"")</f>
        <v/>
      </c>
      <c r="BX83" s="5" t="str">
        <f>IF(OR([1]Data!$B$3="lh",[1]Data!$B$3="a"),IF(AND([1]Data!$B$4=$BN83,$BO83=$B$15),IF([1]Data!$B$5="mp2",BQ83+$B$18,""),""),"")</f>
        <v/>
      </c>
      <c r="BY83" s="5" t="str">
        <f>IF(OR([1]Data!$B$3="lh",[1]Data!$B$3="a"),IF(AND([1]Data!$B$4=$BN83,$BO83=$B$15),IF([1]Data!$B$5="mt1",BR83,""),""),"")</f>
        <v/>
      </c>
      <c r="BZ83" s="5" t="str">
        <f>IF(OR([1]Data!$B$3="lh",[1]Data!$B$3="a"),IF(AND([1]Data!$B$4=$BN83,$BO83=$B$15),IF([1]Data!$B$5="mpu3",BS83+$B$18,""),""),"")</f>
        <v/>
      </c>
      <c r="CA83" s="5" t="str">
        <f>IF(OR([1]Data!$B$3="lh",[1]Data!$B$3="a"),IF(AND([1]Data!$B$4=$BN83,$BO83=$B$15),IF([1]Data!$B$5="mt2",BT83+$B$18,""),""),"")</f>
        <v/>
      </c>
      <c r="CB83" s="5" t="str">
        <f>IF(OR([1]Data!$B$3="lh",[1]Data!$B$3="a"),IF(AND([1]Data!$B$4=$BN83,$BO83=$B$15),IF([1]Data!$B$5="ms2",BU83,""),""),"")</f>
        <v/>
      </c>
      <c r="CC83" s="5" t="str">
        <f>IF(OR([1]Data!$B$3="lh",[1]Data!$B$3="a"),IF(AND([1]Data!$B$4=$BN83,$BO83=$B$15),IF([1]Data!$B$5="ms4",BV83,""),""),"")</f>
        <v/>
      </c>
    </row>
    <row r="84" spans="3:81">
      <c r="C84" s="93"/>
      <c r="D84" s="93"/>
      <c r="E84" s="93"/>
      <c r="F84" s="93"/>
      <c r="G84" s="93"/>
      <c r="H84" s="248"/>
      <c r="BN84" s="5">
        <v>8</v>
      </c>
      <c r="BO84" s="5">
        <v>2.5</v>
      </c>
      <c r="BP84" s="5">
        <v>8.875</v>
      </c>
      <c r="BR84" s="5">
        <v>3.25</v>
      </c>
      <c r="BT84" s="5">
        <v>6.625</v>
      </c>
      <c r="BU84" s="5">
        <v>2.9369999999999998</v>
      </c>
      <c r="BV84" s="5">
        <v>3.4369999999999998</v>
      </c>
      <c r="BW84" s="5" t="str">
        <f>IF(OR([1]Data!$B$3="lh",[1]Data!$B$3="a"),IF(AND([1]Data!$B$4=BN84,BO84=$B$15),IF(OR([1]Data!$B$5="mp1",[1]Data!$B$5="mp3"),BP84+$B$18,""),""),"")</f>
        <v/>
      </c>
      <c r="BX84" s="5" t="str">
        <f>IF(OR([1]Data!$B$3="lh",[1]Data!$B$3="a"),IF(AND([1]Data!$B$4=$BN84,$BO84=$B$15),IF([1]Data!$B$5="mp2",BQ84+$B$18,""),""),"")</f>
        <v/>
      </c>
      <c r="BY84" s="5" t="str">
        <f>IF(OR([1]Data!$B$3="lh",[1]Data!$B$3="a"),IF(AND([1]Data!$B$4=$BN84,$BO84=$B$15),IF([1]Data!$B$5="mt1",BR84,""),""),"")</f>
        <v/>
      </c>
      <c r="BZ84" s="5" t="str">
        <f>IF(OR([1]Data!$B$3="lh",[1]Data!$B$3="a"),IF(AND([1]Data!$B$4=$BN84,$BO84=$B$15),IF([1]Data!$B$5="mpu3",BS84+$B$18,""),""),"")</f>
        <v/>
      </c>
      <c r="CA84" s="5" t="str">
        <f>IF(OR([1]Data!$B$3="lh",[1]Data!$B$3="a"),IF(AND([1]Data!$B$4=$BN84,$BO84=$B$15),IF([1]Data!$B$5="mt2",BT84+$B$18,""),""),"")</f>
        <v/>
      </c>
      <c r="CB84" s="5" t="str">
        <f>IF(OR([1]Data!$B$3="lh",[1]Data!$B$3="a"),IF(AND([1]Data!$B$4=$BN84,$BO84=$B$15),IF([1]Data!$B$5="ms2",BU84,""),""),"")</f>
        <v/>
      </c>
      <c r="CC84" s="5" t="str">
        <f>IF(OR([1]Data!$B$3="lh",[1]Data!$B$3="a"),IF(AND([1]Data!$B$4=$BN84,$BO84=$B$15),IF([1]Data!$B$5="ms4",BV84,""),""),"")</f>
        <v/>
      </c>
    </row>
    <row r="85" spans="3:81">
      <c r="C85" s="93"/>
      <c r="D85" s="93"/>
      <c r="E85" s="93"/>
      <c r="F85" s="93"/>
      <c r="G85" s="93"/>
      <c r="H85" s="248"/>
      <c r="BN85" s="5">
        <v>10</v>
      </c>
      <c r="BO85" s="5">
        <v>1.75</v>
      </c>
      <c r="BP85" s="5">
        <v>10.375</v>
      </c>
      <c r="BR85" s="5">
        <v>3</v>
      </c>
      <c r="BT85" s="5">
        <v>7.25</v>
      </c>
      <c r="BW85" s="5" t="str">
        <f>IF(OR([1]Data!$B$3="lh",[1]Data!$B$3="a"),IF(AND([1]Data!$B$4=BN85,BO85=$B$15),IF(OR([1]Data!$B$5="mp1",[1]Data!$B$5="mp3"),BP85+$B$18,""),""),"")</f>
        <v/>
      </c>
      <c r="BX85" s="5" t="str">
        <f>IF(OR([1]Data!$B$3="lh",[1]Data!$B$3="a"),IF(AND([1]Data!$B$4=$BN85,$BO85=$B$15),IF([1]Data!$B$5="mp2",BQ85+$B$18,""),""),"")</f>
        <v/>
      </c>
      <c r="BY85" s="5" t="str">
        <f>IF(OR([1]Data!$B$3="lh",[1]Data!$B$3="a"),IF(AND([1]Data!$B$4=$BN85,$BO85=$B$15),IF([1]Data!$B$5="mt1",BR85,""),""),"")</f>
        <v/>
      </c>
      <c r="BZ85" s="5" t="str">
        <f>IF(OR([1]Data!$B$3="lh",[1]Data!$B$3="a"),IF(AND([1]Data!$B$4=$BN85,$BO85=$B$15),IF([1]Data!$B$5="mpu3",BS85+$B$18,""),""),"")</f>
        <v/>
      </c>
      <c r="CA85" s="5" t="str">
        <f>IF(OR([1]Data!$B$3="lh",[1]Data!$B$3="a"),IF(AND([1]Data!$B$4=$BN85,$BO85=$B$15),IF([1]Data!$B$5="mt2",BT85+$B$18,""),""),"")</f>
        <v/>
      </c>
      <c r="CB85" s="5" t="str">
        <f>IF(OR([1]Data!$B$3="lh",[1]Data!$B$3="a"),IF(AND([1]Data!$B$4=$BN85,$BO85=$B$15),IF([1]Data!$B$5="ms2",BU85,""),""),"")</f>
        <v/>
      </c>
      <c r="CC85" s="5" t="str">
        <f>IF(OR([1]Data!$B$3="lh",[1]Data!$B$3="a"),IF(AND([1]Data!$B$4=$BN85,$BO85=$B$15),IF([1]Data!$B$5="ms4",BV85,""),""),"")</f>
        <v/>
      </c>
    </row>
    <row r="86" spans="3:81">
      <c r="C86" s="93"/>
      <c r="D86" s="93"/>
      <c r="E86" s="93"/>
      <c r="F86" s="93"/>
      <c r="G86" s="93"/>
      <c r="H86" s="248"/>
      <c r="BN86" s="5">
        <v>10</v>
      </c>
      <c r="BO86" s="5">
        <v>2</v>
      </c>
      <c r="BP86" s="5">
        <v>10.5</v>
      </c>
      <c r="BR86" s="5">
        <v>3.125</v>
      </c>
      <c r="BT86" s="5">
        <v>7.375</v>
      </c>
      <c r="BW86" s="5" t="str">
        <f>IF(OR([1]Data!$B$3="lh",[1]Data!$B$3="a"),IF(AND([1]Data!$B$4=BN86,BO86=$B$15),IF(OR([1]Data!$B$5="mp1",[1]Data!$B$5="mp3"),BP86+$B$18,""),""),"")</f>
        <v/>
      </c>
      <c r="BX86" s="5" t="str">
        <f>IF(OR([1]Data!$B$3="lh",[1]Data!$B$3="a"),IF(AND([1]Data!$B$4=$BN86,$BO86=$B$15),IF([1]Data!$B$5="mp2",BQ86+$B$18,""),""),"")</f>
        <v/>
      </c>
      <c r="BY86" s="5" t="str">
        <f>IF(OR([1]Data!$B$3="lh",[1]Data!$B$3="a"),IF(AND([1]Data!$B$4=$BN86,$BO86=$B$15),IF([1]Data!$B$5="mt1",BR86,""),""),"")</f>
        <v/>
      </c>
      <c r="BZ86" s="5" t="str">
        <f>IF(OR([1]Data!$B$3="lh",[1]Data!$B$3="a"),IF(AND([1]Data!$B$4=$BN86,$BO86=$B$15),IF([1]Data!$B$5="mpu3",BS86+$B$18,""),""),"")</f>
        <v/>
      </c>
      <c r="CA86" s="5" t="str">
        <f>IF(OR([1]Data!$B$3="lh",[1]Data!$B$3="a"),IF(AND([1]Data!$B$4=$BN86,$BO86=$B$15),IF([1]Data!$B$5="mt2",BT86+$B$18,""),""),"")</f>
        <v/>
      </c>
      <c r="CB86" s="5" t="str">
        <f>IF(OR([1]Data!$B$3="lh",[1]Data!$B$3="a"),IF(AND([1]Data!$B$4=$BN86,$BO86=$B$15),IF([1]Data!$B$5="ms2",BU86,""),""),"")</f>
        <v/>
      </c>
      <c r="CC86" s="5" t="str">
        <f>IF(OR([1]Data!$B$3="lh",[1]Data!$B$3="a"),IF(AND([1]Data!$B$4=$BN86,$BO86=$B$15),IF([1]Data!$B$5="ms4",BV86,""),""),"")</f>
        <v/>
      </c>
    </row>
    <row r="87" spans="3:81">
      <c r="C87" s="93"/>
      <c r="D87" s="93"/>
      <c r="E87" s="93"/>
      <c r="F87" s="93"/>
      <c r="G87" s="93"/>
      <c r="H87" s="248"/>
      <c r="BN87" s="5">
        <v>10</v>
      </c>
      <c r="BO87" s="5">
        <v>2.5</v>
      </c>
      <c r="BP87" s="5">
        <v>10.75</v>
      </c>
      <c r="BR87" s="5">
        <v>3.375</v>
      </c>
      <c r="BT87" s="5">
        <v>7.625</v>
      </c>
      <c r="BW87" s="5" t="str">
        <f>IF(OR([1]Data!$B$3="lh",[1]Data!$B$3="a"),IF(AND([1]Data!$B$4=BN87,BO87=$B$15),IF(OR([1]Data!$B$5="mp1",[1]Data!$B$5="mp3"),BP87+$B$18,""),""),"")</f>
        <v/>
      </c>
      <c r="BX87" s="5" t="str">
        <f>IF(OR([1]Data!$B$3="lh",[1]Data!$B$3="a"),IF(AND([1]Data!$B$4=$BN87,$BO87=$B$15),IF([1]Data!$B$5="mp2",BQ87+$B$18,""),""),"")</f>
        <v/>
      </c>
      <c r="BY87" s="5" t="str">
        <f>IF(OR([1]Data!$B$3="lh",[1]Data!$B$3="a"),IF(AND([1]Data!$B$4=$BN87,$BO87=$B$15),IF([1]Data!$B$5="mt1",BR87,""),""),"")</f>
        <v/>
      </c>
      <c r="BZ87" s="5" t="str">
        <f>IF(OR([1]Data!$B$3="lh",[1]Data!$B$3="a"),IF(AND([1]Data!$B$4=$BN87,$BO87=$B$15),IF([1]Data!$B$5="mpu3",BS87+$B$18,""),""),"")</f>
        <v/>
      </c>
      <c r="CA87" s="5" t="str">
        <f>IF(OR([1]Data!$B$3="lh",[1]Data!$B$3="a"),IF(AND([1]Data!$B$4=$BN87,$BO87=$B$15),IF([1]Data!$B$5="mt2",BT87+$B$18,""),""),"")</f>
        <v/>
      </c>
      <c r="CB87" s="5" t="str">
        <f>IF(OR([1]Data!$B$3="lh",[1]Data!$B$3="a"),IF(AND([1]Data!$B$4=$BN87,$BO87=$B$15),IF([1]Data!$B$5="ms2",BU87,""),""),"")</f>
        <v/>
      </c>
      <c r="CC87" s="5" t="str">
        <f>IF(OR([1]Data!$B$3="lh",[1]Data!$B$3="a"),IF(AND([1]Data!$B$4=$BN87,$BO87=$B$15),IF([1]Data!$B$5="ms4",BV87,""),""),"")</f>
        <v/>
      </c>
    </row>
    <row r="88" spans="3:81">
      <c r="C88" s="93"/>
      <c r="D88" s="93"/>
      <c r="E88" s="93"/>
      <c r="F88" s="93"/>
      <c r="G88" s="93"/>
      <c r="H88" s="248"/>
      <c r="BN88" s="5">
        <v>10</v>
      </c>
      <c r="BO88" s="5">
        <v>3</v>
      </c>
      <c r="BP88" s="5">
        <v>10.75</v>
      </c>
      <c r="BR88" s="5">
        <v>3.375</v>
      </c>
      <c r="BT88" s="5">
        <v>7.625</v>
      </c>
      <c r="BW88" s="5" t="str">
        <f>IF(OR([1]Data!$B$3="lh",[1]Data!$B$3="a"),IF(AND([1]Data!$B$4=BN88,BO88=$B$15),IF(OR([1]Data!$B$5="mp1",[1]Data!$B$5="mp3"),BP88+$B$18,""),""),"")</f>
        <v/>
      </c>
      <c r="BX88" s="5" t="str">
        <f>IF(OR([1]Data!$B$3="lh",[1]Data!$B$3="a"),IF(AND([1]Data!$B$4=$BN88,$BO88=$B$15),IF([1]Data!$B$5="mp2",BQ88+$B$18,""),""),"")</f>
        <v/>
      </c>
      <c r="BY88" s="5" t="str">
        <f>IF(OR([1]Data!$B$3="lh",[1]Data!$B$3="a"),IF(AND([1]Data!$B$4=$BN88,$BO88=$B$15),IF([1]Data!$B$5="mt1",BR88,""),""),"")</f>
        <v/>
      </c>
      <c r="BZ88" s="5" t="str">
        <f>IF(OR([1]Data!$B$3="lh",[1]Data!$B$3="a"),IF(AND([1]Data!$B$4=$BN88,$BO88=$B$15),IF([1]Data!$B$5="mpu3",BS88+$B$18,""),""),"")</f>
        <v/>
      </c>
      <c r="CA88" s="5" t="str">
        <f>IF(OR([1]Data!$B$3="lh",[1]Data!$B$3="a"),IF(AND([1]Data!$B$4=$BN88,$BO88=$B$15),IF([1]Data!$B$5="mt2",BT88+$B$18,""),""),"")</f>
        <v/>
      </c>
      <c r="CB88" s="5" t="str">
        <f>IF(OR([1]Data!$B$3="lh",[1]Data!$B$3="a"),IF(AND([1]Data!$B$4=$BN88,$BO88=$B$15),IF([1]Data!$B$5="ms2",BU88,""),""),"")</f>
        <v/>
      </c>
      <c r="CC88" s="5" t="str">
        <f>IF(OR([1]Data!$B$3="lh",[1]Data!$B$3="a"),IF(AND([1]Data!$B$4=$BN88,$BO88=$B$15),IF([1]Data!$B$5="ms4",BV88,""),""),"")</f>
        <v/>
      </c>
    </row>
    <row r="89" spans="3:81">
      <c r="BN89" s="5">
        <v>10</v>
      </c>
      <c r="BO89" s="5">
        <v>3.5</v>
      </c>
      <c r="BP89" s="5">
        <v>10.75</v>
      </c>
      <c r="BR89" s="5">
        <v>3.375</v>
      </c>
      <c r="BT89" s="5">
        <v>7.63</v>
      </c>
      <c r="BW89" s="5" t="str">
        <f>IF(OR([1]Data!$B$3="lh",[1]Data!$B$3="a"),IF(AND([1]Data!$B$4=BN89,BO89=$B$15),IF(OR([1]Data!$B$5="mp1",[1]Data!$B$5="mp3"),BP89+$B$18,""),""),"")</f>
        <v/>
      </c>
      <c r="BX89" s="5" t="str">
        <f>IF(OR([1]Data!$B$3="lh",[1]Data!$B$3="a"),IF(AND([1]Data!$B$4=$BN89,$BO89=$B$15),IF([1]Data!$B$5="mp2",BQ89+$B$18,""),""),"")</f>
        <v/>
      </c>
      <c r="BY89" s="5" t="str">
        <f>IF(OR([1]Data!$B$3="lh",[1]Data!$B$3="a"),IF(AND([1]Data!$B$4=$BN89,$BO89=$B$15),IF([1]Data!$B$5="mt1",BR89,""),""),"")</f>
        <v/>
      </c>
      <c r="BZ89" s="5" t="str">
        <f>IF(OR([1]Data!$B$3="lh",[1]Data!$B$3="a"),IF(AND([1]Data!$B$4=$BN89,$BO89=$B$15),IF([1]Data!$B$5="mpu3",BS89+$B$18,""),""),"")</f>
        <v/>
      </c>
      <c r="CA89" s="5" t="str">
        <f>IF(OR([1]Data!$B$3="lh",[1]Data!$B$3="a"),IF(AND([1]Data!$B$4=$BN89,$BO89=$B$15),IF([1]Data!$B$5="mt2",BT89+$B$18,""),""),"")</f>
        <v/>
      </c>
      <c r="CB89" s="5" t="str">
        <f>IF(OR([1]Data!$B$3="lh",[1]Data!$B$3="a"),IF(AND([1]Data!$B$4=$BN89,$BO89=$B$15),IF([1]Data!$B$5="ms2",BU89,""),""),"")</f>
        <v/>
      </c>
      <c r="CC89" s="5" t="str">
        <f>IF(OR([1]Data!$B$3="lh",[1]Data!$B$3="a"),IF(AND([1]Data!$B$4=$BN89,$BO89=$B$15),IF([1]Data!$B$5="ms4",BV89,""),""),"")</f>
        <v/>
      </c>
    </row>
    <row r="90" spans="3:81">
      <c r="BN90" s="5">
        <v>12</v>
      </c>
      <c r="BO90" s="5">
        <v>2</v>
      </c>
      <c r="BP90" s="5">
        <v>11.125</v>
      </c>
      <c r="BR90" s="5">
        <v>3.125</v>
      </c>
      <c r="BT90" s="5">
        <v>7.875</v>
      </c>
      <c r="BW90" s="5" t="str">
        <f>IF(OR([1]Data!$B$3="lh",[1]Data!$B$3="a"),IF(AND([1]Data!$B$4=BN90,BO90=$B$15),IF(OR([1]Data!$B$5="mp1",[1]Data!$B$5="mp3"),BP90+$B$18,""),""),"")</f>
        <v/>
      </c>
      <c r="BX90" s="5" t="str">
        <f>IF(OR([1]Data!$B$3="lh",[1]Data!$B$3="a"),IF(AND([1]Data!$B$4=$BN90,$BO90=$B$15),IF([1]Data!$B$5="mp2",BQ90+$B$18,""),""),"")</f>
        <v/>
      </c>
      <c r="BY90" s="5" t="str">
        <f>IF(OR([1]Data!$B$3="lh",[1]Data!$B$3="a"),IF(AND([1]Data!$B$4=$BN90,$BO90=$B$15),IF([1]Data!$B$5="mt1",BR90,""),""),"")</f>
        <v/>
      </c>
      <c r="BZ90" s="5" t="str">
        <f>IF(OR([1]Data!$B$3="lh",[1]Data!$B$3="a"),IF(AND([1]Data!$B$4=$BN90,$BO90=$B$15),IF([1]Data!$B$5="mpu3",BS90+$B$18,""),""),"")</f>
        <v/>
      </c>
      <c r="CA90" s="5" t="str">
        <f>IF(OR([1]Data!$B$3="lh",[1]Data!$B$3="a"),IF(AND([1]Data!$B$4=$BN90,$BO90=$B$15),IF([1]Data!$B$5="mt2",BT90+$B$18,""),""),"")</f>
        <v/>
      </c>
      <c r="CB90" s="5" t="str">
        <f>IF(OR([1]Data!$B$3="lh",[1]Data!$B$3="a"),IF(AND([1]Data!$B$4=$BN90,$BO90=$B$15),IF([1]Data!$B$5="ms2",BU90,""),""),"")</f>
        <v/>
      </c>
      <c r="CC90" s="5" t="str">
        <f>IF(OR([1]Data!$B$3="lh",[1]Data!$B$3="a"),IF(AND([1]Data!$B$4=$BN90,$BO90=$B$15),IF([1]Data!$B$5="ms4",BV90,""),""),"")</f>
        <v/>
      </c>
    </row>
    <row r="91" spans="3:81">
      <c r="BN91" s="5">
        <v>12</v>
      </c>
      <c r="BO91" s="5">
        <v>2.5</v>
      </c>
      <c r="BP91" s="5">
        <v>11.375</v>
      </c>
      <c r="BR91" s="5">
        <v>3.375</v>
      </c>
      <c r="BT91" s="5">
        <v>8.125</v>
      </c>
      <c r="BW91" s="5" t="str">
        <f>IF(OR([1]Data!$B$3="lh",[1]Data!$B$3="a"),IF(AND([1]Data!$B$4=BN91,BO91=$B$15),IF(OR([1]Data!$B$5="mp1",[1]Data!$B$5="mp3"),BP91+$B$18,""),""),"")</f>
        <v/>
      </c>
      <c r="BX91" s="5" t="str">
        <f>IF(OR([1]Data!$B$3="lh",[1]Data!$B$3="a"),IF(AND([1]Data!$B$4=$BN91,$BO91=$B$15),IF([1]Data!$B$5="mp2",BQ91+$B$18,""),""),"")</f>
        <v/>
      </c>
      <c r="BY91" s="5" t="str">
        <f>IF(OR([1]Data!$B$3="lh",[1]Data!$B$3="a"),IF(AND([1]Data!$B$4=$BN91,$BO91=$B$15),IF([1]Data!$B$5="mt1",BR91,""),""),"")</f>
        <v/>
      </c>
      <c r="BZ91" s="5" t="str">
        <f>IF(OR([1]Data!$B$3="lh",[1]Data!$B$3="a"),IF(AND([1]Data!$B$4=$BN91,$BO91=$B$15),IF([1]Data!$B$5="mpu3",BS91+$B$18,""),""),"")</f>
        <v/>
      </c>
      <c r="CA91" s="5" t="str">
        <f>IF(OR([1]Data!$B$3="lh",[1]Data!$B$3="a"),IF(AND([1]Data!$B$4=$BN91,$BO91=$B$15),IF([1]Data!$B$5="mt2",BT91+$B$18,""),""),"")</f>
        <v/>
      </c>
      <c r="CB91" s="5" t="str">
        <f>IF(OR([1]Data!$B$3="lh",[1]Data!$B$3="a"),IF(AND([1]Data!$B$4=$BN91,$BO91=$B$15),IF([1]Data!$B$5="ms2",BU91,""),""),"")</f>
        <v/>
      </c>
      <c r="CC91" s="5" t="str">
        <f>IF(OR([1]Data!$B$3="lh",[1]Data!$B$3="a"),IF(AND([1]Data!$B$4=$BN91,$BO91=$B$15),IF([1]Data!$B$5="ms4",BV91,""),""),"")</f>
        <v/>
      </c>
    </row>
    <row r="92" spans="3:81">
      <c r="BN92" s="5">
        <v>12</v>
      </c>
      <c r="BO92" s="5">
        <v>3</v>
      </c>
      <c r="BP92" s="5">
        <v>11.375</v>
      </c>
      <c r="BR92" s="5">
        <v>3.375</v>
      </c>
      <c r="BT92" s="5">
        <v>8.125</v>
      </c>
      <c r="BW92" s="5" t="str">
        <f>IF(OR([1]Data!$B$3="lh",[1]Data!$B$3="a"),IF(AND([1]Data!$B$4=BN92,BO92=$B$15),IF(OR([1]Data!$B$5="mp1",[1]Data!$B$5="mp3"),BP92+$B$18,""),""),"")</f>
        <v/>
      </c>
      <c r="BX92" s="5" t="str">
        <f>IF(OR([1]Data!$B$3="lh",[1]Data!$B$3="a"),IF(AND([1]Data!$B$4=$BN92,$BO92=$B$15),IF([1]Data!$B$5="mp2",BQ92+$B$18,""),""),"")</f>
        <v/>
      </c>
      <c r="BY92" s="5" t="str">
        <f>IF(OR([1]Data!$B$3="lh",[1]Data!$B$3="a"),IF(AND([1]Data!$B$4=$BN92,$BO92=$B$15),IF([1]Data!$B$5="mt1",BR92,""),""),"")</f>
        <v/>
      </c>
      <c r="BZ92" s="5" t="str">
        <f>IF(OR([1]Data!$B$3="lh",[1]Data!$B$3="a"),IF(AND([1]Data!$B$4=$BN92,$BO92=$B$15),IF([1]Data!$B$5="mpu3",BS92+$B$18,""),""),"")</f>
        <v/>
      </c>
      <c r="CA92" s="5" t="str">
        <f>IF(OR([1]Data!$B$3="lh",[1]Data!$B$3="a"),IF(AND([1]Data!$B$4=$BN92,$BO92=$B$15),IF([1]Data!$B$5="mt2",BT92+$B$18,""),""),"")</f>
        <v/>
      </c>
      <c r="CB92" s="5" t="str">
        <f>IF(OR([1]Data!$B$3="lh",[1]Data!$B$3="a"),IF(AND([1]Data!$B$4=$BN92,$BO92=$B$15),IF([1]Data!$B$5="ms2",BU92,""),""),"")</f>
        <v/>
      </c>
      <c r="CC92" s="5" t="str">
        <f>IF(OR([1]Data!$B$3="lh",[1]Data!$B$3="a"),IF(AND([1]Data!$B$4=$BN92,$BO92=$B$15),IF([1]Data!$B$5="ms4",BV92,""),""),"")</f>
        <v/>
      </c>
    </row>
    <row r="93" spans="3:81">
      <c r="BN93" s="5">
        <v>12</v>
      </c>
      <c r="BO93" s="5">
        <v>3.5</v>
      </c>
      <c r="BP93" s="5">
        <v>11.375</v>
      </c>
      <c r="BR93" s="5">
        <v>3.375</v>
      </c>
      <c r="BT93" s="5">
        <v>8.125</v>
      </c>
      <c r="BW93" s="5" t="str">
        <f>IF(OR([1]Data!$B$3="lh",[1]Data!$B$3="a"),IF(AND([1]Data!$B$4=BN93,BO93=$B$15),IF(OR([1]Data!$B$5="mp1",[1]Data!$B$5="mp3"),BP93+$B$18,""),""),"")</f>
        <v/>
      </c>
      <c r="BX93" s="5" t="str">
        <f>IF(OR([1]Data!$B$3="lh",[1]Data!$B$3="a"),IF(AND([1]Data!$B$4=$BN93,$BO93=$B$15),IF([1]Data!$B$5="mp2",BQ93+$B$18,""),""),"")</f>
        <v/>
      </c>
      <c r="BY93" s="5" t="str">
        <f>IF(OR([1]Data!$B$3="lh",[1]Data!$B$3="a"),IF(AND([1]Data!$B$4=$BN93,$BO93=$B$15),IF([1]Data!$B$5="mt1",BR93,""),""),"")</f>
        <v/>
      </c>
      <c r="BZ93" s="5" t="str">
        <f>IF(OR([1]Data!$B$3="lh",[1]Data!$B$3="a"),IF(AND([1]Data!$B$4=$BN93,$BO93=$B$15),IF([1]Data!$B$5="mpu3",BS93+$B$18,""),""),"")</f>
        <v/>
      </c>
      <c r="CA93" s="5" t="str">
        <f>IF(OR([1]Data!$B$3="lh",[1]Data!$B$3="a"),IF(AND([1]Data!$B$4=$BN93,$BO93=$B$15),IF([1]Data!$B$5="mt2",BT93+$B$18,""),""),"")</f>
        <v/>
      </c>
      <c r="CB93" s="5" t="str">
        <f>IF(OR([1]Data!$B$3="lh",[1]Data!$B$3="a"),IF(AND([1]Data!$B$4=$BN93,$BO93=$B$15),IF([1]Data!$B$5="ms2",BU93,""),""),"")</f>
        <v/>
      </c>
      <c r="CC93" s="5" t="str">
        <f>IF(OR([1]Data!$B$3="lh",[1]Data!$B$3="a"),IF(AND([1]Data!$B$4=$BN93,$BO93=$B$15),IF([1]Data!$B$5="ms4",BV93,""),""),"")</f>
        <v/>
      </c>
    </row>
    <row r="94" spans="3:81">
      <c r="BN94" s="5">
        <v>12</v>
      </c>
      <c r="BO94" s="5">
        <v>4</v>
      </c>
      <c r="BP94" s="5">
        <v>11.375</v>
      </c>
      <c r="BR94" s="5">
        <v>3.375</v>
      </c>
      <c r="BT94" s="5">
        <v>8.1300000000000008</v>
      </c>
      <c r="BW94" s="5" t="str">
        <f>IF(OR([1]Data!$B$3="lh",[1]Data!$B$3="a"),IF(AND([1]Data!$B$4=BN94,BO94=$B$15),IF(OR([1]Data!$B$5="mp1",[1]Data!$B$5="mp3"),BP94+$B$18,""),""),"")</f>
        <v/>
      </c>
      <c r="BX94" s="5" t="str">
        <f>IF(OR([1]Data!$B$3="lh",[1]Data!$B$3="a"),IF(AND([1]Data!$B$4=$BN94,$BO94=$B$15),IF([1]Data!$B$5="mp2",BQ94+$B$18,""),""),"")</f>
        <v/>
      </c>
      <c r="BY94" s="5" t="str">
        <f>IF(OR([1]Data!$B$3="lh",[1]Data!$B$3="a"),IF(AND([1]Data!$B$4=$BN94,$BO94=$B$15),IF([1]Data!$B$5="mt1",BR94,""),""),"")</f>
        <v/>
      </c>
      <c r="BZ94" s="5" t="str">
        <f>IF(OR([1]Data!$B$3="lh",[1]Data!$B$3="a"),IF(AND([1]Data!$B$4=$BN94,$BO94=$B$15),IF([1]Data!$B$5="mpu3",BS94+$B$18,""),""),"")</f>
        <v/>
      </c>
      <c r="CA94" s="5" t="str">
        <f>IF(OR([1]Data!$B$3="lh",[1]Data!$B$3="a"),IF(AND([1]Data!$B$4=$BN94,$BO94=$B$15),IF([1]Data!$B$5="mt2",BT94+$B$18,""),""),"")</f>
        <v/>
      </c>
      <c r="CB94" s="5" t="str">
        <f>IF(OR([1]Data!$B$3="lh",[1]Data!$B$3="a"),IF(AND([1]Data!$B$4=$BN94,$BO94=$B$15),IF([1]Data!$B$5="ms2",BU94,""),""),"")</f>
        <v/>
      </c>
      <c r="CC94" s="5" t="str">
        <f>IF(OR([1]Data!$B$3="lh",[1]Data!$B$3="a"),IF(AND([1]Data!$B$4=$BN94,$BO94=$B$15),IF([1]Data!$B$5="ms4",BV94,""),""),"")</f>
        <v/>
      </c>
    </row>
    <row r="95" spans="3:81">
      <c r="BN95" s="5">
        <v>14</v>
      </c>
      <c r="BO95" s="5">
        <v>2.5</v>
      </c>
      <c r="BP95" s="5">
        <v>12.875</v>
      </c>
      <c r="BR95" s="5">
        <v>3.625</v>
      </c>
      <c r="BT95" s="5">
        <v>9.25</v>
      </c>
      <c r="BW95" s="5" t="str">
        <f>IF(OR([1]Data!$B$3="lh",[1]Data!$B$3="a"),IF(AND([1]Data!$B$4=BN95,BO95=$B$15),IF(OR([1]Data!$B$5="mp1",[1]Data!$B$5="mp3"),BP95+$B$18,""),""),"")</f>
        <v/>
      </c>
      <c r="BX95" s="5" t="str">
        <f>IF(OR([1]Data!$B$3="lh",[1]Data!$B$3="a"),IF(AND([1]Data!$B$4=$BN95,$BO95=$B$15),IF([1]Data!$B$5="mp2",BQ95+$B$18,""),""),"")</f>
        <v/>
      </c>
      <c r="BY95" s="5" t="str">
        <f>IF(OR([1]Data!$B$3="lh",[1]Data!$B$3="a"),IF(AND([1]Data!$B$4=$BN95,$BO95=$B$15),IF([1]Data!$B$5="mt1",BR95,""),""),"")</f>
        <v/>
      </c>
      <c r="BZ95" s="5" t="str">
        <f>IF(OR([1]Data!$B$3="lh",[1]Data!$B$3="a"),IF(AND([1]Data!$B$4=$BN95,$BO95=$B$15),IF([1]Data!$B$5="mpu3",BS95+$B$18,""),""),"")</f>
        <v/>
      </c>
      <c r="CA95" s="5" t="str">
        <f>IF(OR([1]Data!$B$3="lh",[1]Data!$B$3="a"),IF(AND([1]Data!$B$4=$BN95,$BO95=$B$15),IF([1]Data!$B$5="mt2",BT95+$B$18,""),""),"")</f>
        <v/>
      </c>
      <c r="CB95" s="5" t="str">
        <f>IF(OR([1]Data!$B$3="lh",[1]Data!$B$3="a"),IF(AND([1]Data!$B$4=$BN95,$BO95=$B$15),IF([1]Data!$B$5="ms2",BU95,""),""),"")</f>
        <v/>
      </c>
      <c r="CC95" s="5" t="str">
        <f>IF(OR([1]Data!$B$3="lh",[1]Data!$B$3="a"),IF(AND([1]Data!$B$4=$BN95,$BO95=$B$15),IF([1]Data!$B$5="ms4",BV95,""),""),"")</f>
        <v/>
      </c>
    </row>
    <row r="96" spans="3:81">
      <c r="BN96" s="5">
        <v>14</v>
      </c>
      <c r="BO96" s="5">
        <v>3</v>
      </c>
      <c r="BP96" s="5">
        <v>12.875</v>
      </c>
      <c r="BR96" s="5">
        <v>3.625</v>
      </c>
      <c r="BT96" s="5">
        <v>9.25</v>
      </c>
      <c r="BW96" s="5" t="str">
        <f>IF(OR([1]Data!$B$3="lh",[1]Data!$B$3="a"),IF(AND([1]Data!$B$4=BN96,BO96=$B$15),IF(OR([1]Data!$B$5="mp1",[1]Data!$B$5="mp3"),BP96+$B$18,""),""),"")</f>
        <v/>
      </c>
      <c r="BX96" s="5" t="str">
        <f>IF(OR([1]Data!$B$3="lh",[1]Data!$B$3="a"),IF(AND([1]Data!$B$4=$BN96,$BO96=$B$15),IF([1]Data!$B$5="mp2",BQ96+$B$18,""),""),"")</f>
        <v/>
      </c>
      <c r="BY96" s="5" t="str">
        <f>IF(OR([1]Data!$B$3="lh",[1]Data!$B$3="a"),IF(AND([1]Data!$B$4=$BN96,$BO96=$B$15),IF([1]Data!$B$5="mt1",BR96,""),""),"")</f>
        <v/>
      </c>
      <c r="BZ96" s="5" t="str">
        <f>IF(OR([1]Data!$B$3="lh",[1]Data!$B$3="a"),IF(AND([1]Data!$B$4=$BN96,$BO96=$B$15),IF([1]Data!$B$5="mpu3",BS96+$B$18,""),""),"")</f>
        <v/>
      </c>
      <c r="CA96" s="5" t="str">
        <f>IF(OR([1]Data!$B$3="lh",[1]Data!$B$3="a"),IF(AND([1]Data!$B$4=$BN96,$BO96=$B$15),IF([1]Data!$B$5="mt2",BT96+$B$18,""),""),"")</f>
        <v/>
      </c>
      <c r="CB96" s="5" t="str">
        <f>IF(OR([1]Data!$B$3="lh",[1]Data!$B$3="a"),IF(AND([1]Data!$B$4=$BN96,$BO96=$B$15),IF([1]Data!$B$5="ms2",BU96,""),""),"")</f>
        <v/>
      </c>
      <c r="CC96" s="5" t="str">
        <f>IF(OR([1]Data!$B$3="lh",[1]Data!$B$3="a"),IF(AND([1]Data!$B$4=$BN96,$BO96=$B$15),IF([1]Data!$B$5="ms4",BV96,""),""),"")</f>
        <v/>
      </c>
    </row>
    <row r="97" spans="66:81">
      <c r="BN97" s="5">
        <v>14</v>
      </c>
      <c r="BO97" s="5">
        <v>3.5</v>
      </c>
      <c r="BP97" s="5">
        <v>12.875</v>
      </c>
      <c r="BR97" s="5">
        <v>3.625</v>
      </c>
      <c r="BT97" s="5">
        <v>9.25</v>
      </c>
      <c r="BW97" s="5" t="str">
        <f>IF(OR([1]Data!$B$3="lh",[1]Data!$B$3="a"),IF(AND([1]Data!$B$4=BN97,BO97=$B$15),IF(OR([1]Data!$B$5="mp1",[1]Data!$B$5="mp3"),BP97+$B$18,""),""),"")</f>
        <v/>
      </c>
      <c r="BX97" s="5" t="str">
        <f>IF(OR([1]Data!$B$3="lh",[1]Data!$B$3="a"),IF(AND([1]Data!$B$4=$BN97,$BO97=$B$15),IF([1]Data!$B$5="mp2",BQ97+$B$18,""),""),"")</f>
        <v/>
      </c>
      <c r="BY97" s="5" t="str">
        <f>IF(OR([1]Data!$B$3="lh",[1]Data!$B$3="a"),IF(AND([1]Data!$B$4=$BN97,$BO97=$B$15),IF([1]Data!$B$5="mt1",BR97,""),""),"")</f>
        <v/>
      </c>
      <c r="BZ97" s="5" t="str">
        <f>IF(OR([1]Data!$B$3="lh",[1]Data!$B$3="a"),IF(AND([1]Data!$B$4=$BN97,$BO97=$B$15),IF([1]Data!$B$5="mpu3",BS97+$B$18,""),""),"")</f>
        <v/>
      </c>
      <c r="CA97" s="5" t="str">
        <f>IF(OR([1]Data!$B$3="lh",[1]Data!$B$3="a"),IF(AND([1]Data!$B$4=$BN97,$BO97=$B$15),IF([1]Data!$B$5="mt2",BT97+$B$18,""),""),"")</f>
        <v/>
      </c>
      <c r="CB97" s="5" t="str">
        <f>IF(OR([1]Data!$B$3="lh",[1]Data!$B$3="a"),IF(AND([1]Data!$B$4=$BN97,$BO97=$B$15),IF([1]Data!$B$5="ms2",BU97,""),""),"")</f>
        <v/>
      </c>
      <c r="CC97" s="5" t="str">
        <f>IF(OR([1]Data!$B$3="lh",[1]Data!$B$3="a"),IF(AND([1]Data!$B$4=$BN97,$BO97=$B$15),IF([1]Data!$B$5="ms4",BV97,""),""),"")</f>
        <v/>
      </c>
    </row>
    <row r="98" spans="66:81">
      <c r="BN98" s="5">
        <v>14</v>
      </c>
      <c r="BO98" s="5">
        <v>4</v>
      </c>
      <c r="BP98" s="5">
        <v>12.875</v>
      </c>
      <c r="BR98" s="5">
        <v>3.625</v>
      </c>
      <c r="BT98" s="5">
        <v>9.25</v>
      </c>
      <c r="BW98" s="5" t="str">
        <f>IF(OR([1]Data!$B$3="lh",[1]Data!$B$3="a"),IF(AND([1]Data!$B$4=BN98,BO98=$B$15),IF(OR([1]Data!$B$5="mp1",[1]Data!$B$5="mp3"),BP98+$B$18,""),""),"")</f>
        <v/>
      </c>
      <c r="BX98" s="5" t="str">
        <f>IF(OR([1]Data!$B$3="lh",[1]Data!$B$3="a"),IF(AND([1]Data!$B$4=$BN98,$BO98=$B$15),IF([1]Data!$B$5="mp2",BQ98+$B$18,""),""),"")</f>
        <v/>
      </c>
      <c r="BY98" s="5" t="str">
        <f>IF(OR([1]Data!$B$3="lh",[1]Data!$B$3="a"),IF(AND([1]Data!$B$4=$BN98,$BO98=$B$15),IF([1]Data!$B$5="mt1",BR98,""),""),"")</f>
        <v/>
      </c>
      <c r="BZ98" s="5" t="str">
        <f>IF(OR([1]Data!$B$3="lh",[1]Data!$B$3="a"),IF(AND([1]Data!$B$4=$BN98,$BO98=$B$15),IF([1]Data!$B$5="mpu3",BS98+$B$18,""),""),"")</f>
        <v/>
      </c>
      <c r="CA98" s="5" t="str">
        <f>IF(OR([1]Data!$B$3="lh",[1]Data!$B$3="a"),IF(AND([1]Data!$B$4=$BN98,$BO98=$B$15),IF([1]Data!$B$5="mt2",BT98+$B$18,""),""),"")</f>
        <v/>
      </c>
      <c r="CB98" s="5" t="str">
        <f>IF(OR([1]Data!$B$3="lh",[1]Data!$B$3="a"),IF(AND([1]Data!$B$4=$BN98,$BO98=$B$15),IF([1]Data!$B$5="ms2",BU98,""),""),"")</f>
        <v/>
      </c>
      <c r="CC98" s="5" t="str">
        <f>IF(OR([1]Data!$B$3="lh",[1]Data!$B$3="a"),IF(AND([1]Data!$B$4=$BN98,$BO98=$B$15),IF([1]Data!$B$5="ms4",BV98,""),""),"")</f>
        <v/>
      </c>
    </row>
  </sheetData>
  <mergeCells count="79">
    <mergeCell ref="A37:E40"/>
    <mergeCell ref="A41:B41"/>
    <mergeCell ref="A42:E43"/>
    <mergeCell ref="F42:G42"/>
    <mergeCell ref="F43:G43"/>
    <mergeCell ref="I44:J44"/>
    <mergeCell ref="AC35:AD35"/>
    <mergeCell ref="AF35:AG35"/>
    <mergeCell ref="C36:D36"/>
    <mergeCell ref="F36:G36"/>
    <mergeCell ref="AC36:AD36"/>
    <mergeCell ref="AF36:AG36"/>
    <mergeCell ref="A32:B36"/>
    <mergeCell ref="C32:D32"/>
    <mergeCell ref="AA32:AB36"/>
    <mergeCell ref="AC32:AD32"/>
    <mergeCell ref="C33:D33"/>
    <mergeCell ref="AC33:AD33"/>
    <mergeCell ref="C34:D34"/>
    <mergeCell ref="AC34:AD34"/>
    <mergeCell ref="C35:D35"/>
    <mergeCell ref="F35:G35"/>
    <mergeCell ref="C29:D29"/>
    <mergeCell ref="E29:G34"/>
    <mergeCell ref="AC29:AD29"/>
    <mergeCell ref="AE29:AG34"/>
    <mergeCell ref="C30:D30"/>
    <mergeCell ref="AC30:AD30"/>
    <mergeCell ref="C31:D31"/>
    <mergeCell ref="AC31:AD31"/>
    <mergeCell ref="C21:E21"/>
    <mergeCell ref="F21:G21"/>
    <mergeCell ref="AC21:AE21"/>
    <mergeCell ref="AF21:AG21"/>
    <mergeCell ref="C22:G28"/>
    <mergeCell ref="AC22:AG28"/>
    <mergeCell ref="C19:E19"/>
    <mergeCell ref="F19:G19"/>
    <mergeCell ref="AC19:AE19"/>
    <mergeCell ref="AF19:AG19"/>
    <mergeCell ref="C20:E20"/>
    <mergeCell ref="F20:G20"/>
    <mergeCell ref="AC20:AE20"/>
    <mergeCell ref="AF20:AG20"/>
    <mergeCell ref="C17:E17"/>
    <mergeCell ref="F17:G17"/>
    <mergeCell ref="AC17:AE17"/>
    <mergeCell ref="AF17:AG17"/>
    <mergeCell ref="C18:E18"/>
    <mergeCell ref="F18:G18"/>
    <mergeCell ref="AC18:AE18"/>
    <mergeCell ref="AF18:AG18"/>
    <mergeCell ref="C15:E15"/>
    <mergeCell ref="F15:G15"/>
    <mergeCell ref="AC15:AE15"/>
    <mergeCell ref="AF15:AG15"/>
    <mergeCell ref="C16:E16"/>
    <mergeCell ref="F16:G16"/>
    <mergeCell ref="AC16:AE16"/>
    <mergeCell ref="AF16:AG16"/>
    <mergeCell ref="F12:G12"/>
    <mergeCell ref="AB12:AC12"/>
    <mergeCell ref="AF12:AG12"/>
    <mergeCell ref="F13:G13"/>
    <mergeCell ref="AF13:AG13"/>
    <mergeCell ref="C14:G14"/>
    <mergeCell ref="AC14:AG14"/>
    <mergeCell ref="A10:B10"/>
    <mergeCell ref="F10:G10"/>
    <mergeCell ref="AA10:AB10"/>
    <mergeCell ref="AF10:AG10"/>
    <mergeCell ref="F11:G11"/>
    <mergeCell ref="AF11:AG11"/>
    <mergeCell ref="B1:E2"/>
    <mergeCell ref="C4:E4"/>
    <mergeCell ref="C5:E5"/>
    <mergeCell ref="C6:E6"/>
    <mergeCell ref="C7:E7"/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6567-CEEC-498D-9B54-873B149F81AF}">
  <dimension ref="A1:AH565"/>
  <sheetViews>
    <sheetView tabSelected="1" workbookViewId="0">
      <selection sqref="A1:XFD1048576"/>
    </sheetView>
  </sheetViews>
  <sheetFormatPr defaultColWidth="9.1796875" defaultRowHeight="13"/>
  <cols>
    <col min="1" max="1" width="20.1796875" style="250" customWidth="1"/>
    <col min="2" max="2" width="6" style="250" customWidth="1"/>
    <col min="3" max="3" width="12" style="250" customWidth="1"/>
    <col min="4" max="4" width="14" style="250" customWidth="1"/>
    <col min="5" max="5" width="9.54296875" style="250" customWidth="1"/>
    <col min="6" max="6" width="16.453125" style="250" customWidth="1"/>
    <col min="7" max="7" width="1.81640625" style="250" customWidth="1"/>
    <col min="8" max="8" width="8.7265625" style="250" bestFit="1" customWidth="1"/>
    <col min="9" max="9" width="12.453125" style="250" customWidth="1"/>
    <col min="10" max="16384" width="9.1796875" style="250"/>
  </cols>
  <sheetData>
    <row r="1" spans="1:16" ht="13.5" thickBot="1">
      <c r="A1" s="249" t="str">
        <f>CONCATENATE(B3,B1,E5,B1,B4,C1,B8,C1,B6,B1,D15,B1,B7,B1,D2,B1,B10,B1,"S")</f>
        <v>H-MF1-5x12x2-1-NC-S-P-S</v>
      </c>
      <c r="B1" s="250" t="s">
        <v>158</v>
      </c>
      <c r="C1" s="250" t="s">
        <v>159</v>
      </c>
      <c r="D1" s="251" t="s">
        <v>100</v>
      </c>
      <c r="I1" s="250" t="str">
        <f>IF(AND(B22="",OR(B3="IH",B3="H")),"High Pressure Hydraulic Cylinder",IF(OR(B3="IMH",B3="MH",B3="IHM"),"High Pressure Hydraulic Mill Cylinder",IF(AND(B22="",B3="A"),"High Pressure Pneumatic Cylinder",IF(AND(I2="",B3="LH"),"Low Pressure Hydraulic Cylinder",IF(AND(B22="Y",OR(B3="LH",B3="IH",B3="H")),"Hydraulic Positioning Cylinder",IF(OR(B3="HM",B3="IMH",B3="IHM"),"Mill Duty Hydraulic Cylinder",IF(B3="VA","Pneumatic Valve Actuator","")))))))</f>
        <v>High Pressure Hydraulic Cylinder</v>
      </c>
      <c r="L1" s="250" t="s">
        <v>160</v>
      </c>
      <c r="M1" s="250" t="s">
        <v>161</v>
      </c>
      <c r="N1" s="251" t="s">
        <v>162</v>
      </c>
    </row>
    <row r="2" spans="1:16" ht="13.5" thickTop="1">
      <c r="A2" s="252" t="s">
        <v>39</v>
      </c>
      <c r="B2" s="253"/>
      <c r="D2" s="251" t="s">
        <v>51</v>
      </c>
      <c r="E2" s="254"/>
      <c r="F2" s="251"/>
      <c r="G2" s="251"/>
      <c r="H2" s="251"/>
      <c r="I2" s="251"/>
      <c r="L2" s="250">
        <f>ROUNDUP(([1]H!Z5+[1]A!AI5+[1]IH!Z5)*(1-D4),0.1)</f>
        <v>779</v>
      </c>
      <c r="M2" s="251" t="str">
        <f>IF(AND(OR(B3="A",B3="LH"),B4=1.5,B6=1),"YES",IF(AND(OR(B3="A",B3="LH"),B4=2,B6=1.375),"YES",IF(AND(OR(B3="A",B3="LH"),B4=2.5,B6=1.75),"YES",IF(OR(AND(B5="MF1",B4&lt;4),AND(B5="MF5",B4&lt;4),AND(B5="MX1",B4&lt;4),AND(B5="MX3",B4&lt;4)),"YES","NO"))))</f>
        <v>NO</v>
      </c>
      <c r="N2" s="251" t="str">
        <f>IF(M2="Yes","No",IF(AND(B4=1.5,OR(B3="A",B3="LH"),B6=0.625),"YES",IF(AND(B4=1.5,B3="H"),"YES",IF(AND(B4=2.5,B3="H",B6=1.75),"YES",IF(OR(AND(B4=2,OR(B6=1,B6=1.375)),AND(B4=2.5,B6=1.375)),"YES",IF(AND(B4=3.25,B6=2),"YES",IF(AND(B4=4,B6=2.5),"YES","NO")))))))</f>
        <v>NO</v>
      </c>
    </row>
    <row r="3" spans="1:16" ht="13.5" thickBot="1">
      <c r="A3" s="252" t="s">
        <v>50</v>
      </c>
      <c r="B3" s="255" t="s">
        <v>48</v>
      </c>
      <c r="D3" s="251" t="s">
        <v>41</v>
      </c>
      <c r="F3" s="256"/>
    </row>
    <row r="4" spans="1:16" ht="14" thickTop="1" thickBot="1">
      <c r="A4" s="252" t="s">
        <v>16</v>
      </c>
      <c r="B4" s="257">
        <v>5</v>
      </c>
      <c r="C4" s="258"/>
      <c r="D4" s="259"/>
      <c r="F4" s="251" t="s">
        <v>163</v>
      </c>
    </row>
    <row r="5" spans="1:16" ht="13.5" thickTop="1">
      <c r="A5" s="252" t="s">
        <v>86</v>
      </c>
      <c r="B5" s="255" t="s">
        <v>137</v>
      </c>
      <c r="C5" s="260">
        <f>[1]H!Q52+[1]A!Q53+[1]MH!O52+[1]PH!J34+[1]IH!Q36+[1]IMH!O27</f>
        <v>1846</v>
      </c>
      <c r="D5" s="251" t="s">
        <v>164</v>
      </c>
      <c r="E5" s="250" t="str">
        <f>IF(D18="",B5,CONCATENATE("DRE/",B5))</f>
        <v>MF1</v>
      </c>
      <c r="F5" s="261"/>
    </row>
    <row r="6" spans="1:16">
      <c r="A6" s="252" t="s">
        <v>17</v>
      </c>
      <c r="B6" s="257">
        <v>2</v>
      </c>
      <c r="C6" s="260"/>
      <c r="D6" s="262">
        <f>ROUNDUP(IF(D18="",(C5+C8+C10+H23+H33+[1]VA!K20+[1]PH!A33+[1]H2!R53+[1]H3!T53+[1]H4!R53+[1]A2!O55+[1]A3!Q55+[1]A4!K55+[1]IH2!R37+[1]IH3!U37+[1]IH4!S37)*(1-D4),(C5+C8+C10+H23+H33+[1]VA!K20+[1]PH!A33+[1]H2!R53+[1]H3!T53+[1]H4!R53+[1]A2!O55+[1]A3!Q55+[1]A4!K55+[1]IH2!R37+[1]IH3!U37+[1]IH4!S37+C5*0.65)*(1-D4))+H24,0)</f>
        <v>2218</v>
      </c>
      <c r="N6" s="250" t="str">
        <f>IF(N7="",IF(N8="",IF(N9="",IF(N10="","",N10),N9),N8),N7)</f>
        <v>Rect Head Flange (MF1)</v>
      </c>
    </row>
    <row r="7" spans="1:16">
      <c r="A7" s="252" t="s">
        <v>165</v>
      </c>
      <c r="B7" s="255" t="s">
        <v>166</v>
      </c>
      <c r="C7" s="260"/>
      <c r="D7" s="263">
        <f>ROUNDUP(D6-(IF(D6&lt;1000,D6*0.4,D6*0.27)+[1]Inventory!E1),0)</f>
        <v>998</v>
      </c>
      <c r="E7" s="264"/>
      <c r="K7" s="265" t="s">
        <v>133</v>
      </c>
      <c r="L7" s="265" t="s">
        <v>167</v>
      </c>
      <c r="M7" s="265" t="str">
        <f>IF(K7=B$5,CONCATENATE(L7," (",K7,")"),"")</f>
        <v/>
      </c>
      <c r="N7" s="250" t="str">
        <f>IF(M7="",IF(M8="",IF(M9="",IF(M10="",IF(M11="",IF(M12="",IF(M13="",IF(M14="","",M14),M13),M12),M11),M10),M9),M8),M7)</f>
        <v>Rect Head Flange (MF1)</v>
      </c>
      <c r="P7" s="265"/>
    </row>
    <row r="8" spans="1:16">
      <c r="A8" s="252" t="s">
        <v>168</v>
      </c>
      <c r="B8" s="257">
        <v>12</v>
      </c>
      <c r="C8" s="260">
        <f>[1]H!W52+[1]A!W53+[1]MH!S52+[1]PH!N34+[1]IH!W36+[1]IMH!S27</f>
        <v>372</v>
      </c>
      <c r="D8" s="266" t="s">
        <v>106</v>
      </c>
      <c r="F8" s="267" t="s">
        <v>169</v>
      </c>
      <c r="G8" s="267"/>
      <c r="K8" s="265" t="s">
        <v>134</v>
      </c>
      <c r="L8" s="265" t="s">
        <v>170</v>
      </c>
      <c r="M8" s="265" t="str">
        <f t="shared" ref="M8:M31" si="0">IF(K8=B$5,CONCATENATE(L8," (",K8,")"),"")</f>
        <v/>
      </c>
      <c r="N8" s="250" t="str">
        <f>IF(M15="",IF(M16="",IF(M17="",IF(M18="",IF(M19="",IF(M20="","",M20),M19),M18),M17),M16),M15)</f>
        <v/>
      </c>
      <c r="P8" s="265"/>
    </row>
    <row r="9" spans="1:16">
      <c r="A9" s="252" t="s">
        <v>171</v>
      </c>
      <c r="B9" s="255"/>
      <c r="C9" s="260"/>
      <c r="D9" s="251" t="str">
        <f>IF(OR(D15=1,D15=3),VLOOKUP($B$6,[1]H!$N$7:$P$81,2),IF(D15=2,VLOOKUP($B$6,[1]H!$N$7:$P$81,3),IF(D15=4,"Safety Coupler",IF(D15=5,"Special Threads",""))))</f>
        <v>1 1/2-12</v>
      </c>
      <c r="F9" s="252" t="s">
        <v>172</v>
      </c>
      <c r="G9" s="251"/>
      <c r="H9" s="265" t="str">
        <f>IF(G9&gt;0.1,[1]Acc!O20*G9,"")</f>
        <v/>
      </c>
      <c r="I9" s="251"/>
      <c r="K9" s="265" t="s">
        <v>135</v>
      </c>
      <c r="L9" s="265" t="s">
        <v>173</v>
      </c>
      <c r="M9" s="265" t="str">
        <f t="shared" si="0"/>
        <v/>
      </c>
      <c r="N9" s="250" t="str">
        <f>IF(M21="",IF(M22="",IF(M23="",IF(M24="",IF(M25="",IF(M26="",IF(M27="",IF(M28="","",M28),M27),M26),M25),M24),M23),M22),M21)</f>
        <v/>
      </c>
      <c r="P9" s="265"/>
    </row>
    <row r="10" spans="1:16">
      <c r="A10" s="252" t="s">
        <v>110</v>
      </c>
      <c r="B10" s="255" t="s">
        <v>174</v>
      </c>
      <c r="C10" s="260"/>
      <c r="F10" s="252" t="s">
        <v>175</v>
      </c>
      <c r="G10" s="251"/>
      <c r="H10" s="265" t="str">
        <f>IF(G10&gt;0.1,[1]Acc!P20*G10,"")</f>
        <v/>
      </c>
      <c r="I10" s="251"/>
      <c r="K10" s="265" t="s">
        <v>136</v>
      </c>
      <c r="L10" s="265" t="s">
        <v>176</v>
      </c>
      <c r="M10" s="265" t="str">
        <f t="shared" si="0"/>
        <v/>
      </c>
      <c r="N10" s="250" t="str">
        <f>IF(M29="",IF(M30="",IF(M31="","",M31),M30),M29)</f>
        <v/>
      </c>
      <c r="P10" s="265"/>
    </row>
    <row r="11" spans="1:16">
      <c r="A11" s="252" t="s">
        <v>177</v>
      </c>
      <c r="B11" s="257"/>
      <c r="C11" s="260"/>
      <c r="D11" s="251"/>
      <c r="F11" s="252" t="s">
        <v>178</v>
      </c>
      <c r="G11" s="251"/>
      <c r="H11" s="265" t="str">
        <f>IF(G11&gt;0.1,[1]Acc!Q20*G11,"")</f>
        <v/>
      </c>
      <c r="I11" s="250" t="str">
        <f>IF(I16="","",CONCATENATE("Push = ",I18,"  Pull = ",I20))</f>
        <v>Push = 58905  Pull = 49481</v>
      </c>
      <c r="K11" s="265" t="s">
        <v>137</v>
      </c>
      <c r="L11" s="265" t="s">
        <v>179</v>
      </c>
      <c r="M11" s="265" t="str">
        <f t="shared" si="0"/>
        <v>Rect Head Flange (MF1)</v>
      </c>
      <c r="N11" s="250" t="s">
        <v>125</v>
      </c>
      <c r="O11" s="265"/>
      <c r="P11" s="265"/>
    </row>
    <row r="12" spans="1:16">
      <c r="A12" s="252" t="s">
        <v>180</v>
      </c>
      <c r="B12" s="257"/>
      <c r="C12" s="260"/>
      <c r="F12" s="252" t="s">
        <v>181</v>
      </c>
      <c r="G12" s="251"/>
      <c r="H12" s="265" t="str">
        <f>IF(G12&gt;0.1,[1]Acc!R20*G12,"")</f>
        <v/>
      </c>
      <c r="I12" s="252" t="s">
        <v>40</v>
      </c>
      <c r="K12" s="265" t="s">
        <v>138</v>
      </c>
      <c r="L12" s="265" t="s">
        <v>182</v>
      </c>
      <c r="M12" s="265" t="str">
        <f t="shared" si="0"/>
        <v/>
      </c>
      <c r="N12" s="250" t="s">
        <v>125</v>
      </c>
      <c r="O12" s="265"/>
      <c r="P12" s="265"/>
    </row>
    <row r="13" spans="1:16" ht="13.5" thickBot="1">
      <c r="A13" s="252" t="s">
        <v>183</v>
      </c>
      <c r="B13" s="268"/>
      <c r="C13" s="260"/>
      <c r="F13" s="252" t="s">
        <v>184</v>
      </c>
      <c r="G13" s="251"/>
      <c r="H13" s="265" t="str">
        <f>IF(G13&gt;0.1,[1]Acc!S20*G13,"")</f>
        <v/>
      </c>
      <c r="I13" s="264">
        <f>D6/(1-D4)</f>
        <v>2218</v>
      </c>
      <c r="K13" s="265" t="s">
        <v>139</v>
      </c>
      <c r="L13" s="265" t="s">
        <v>185</v>
      </c>
      <c r="M13" s="265" t="str">
        <f t="shared" si="0"/>
        <v/>
      </c>
      <c r="N13" s="251" t="s">
        <v>125</v>
      </c>
      <c r="O13" s="265"/>
      <c r="P13" s="265"/>
    </row>
    <row r="14" spans="1:16" ht="14" thickTop="1" thickBot="1">
      <c r="A14" s="252" t="s">
        <v>186</v>
      </c>
      <c r="B14" s="269"/>
      <c r="C14" s="260"/>
      <c r="D14" s="270" t="s">
        <v>187</v>
      </c>
      <c r="E14" s="271"/>
      <c r="F14" s="252" t="s">
        <v>188</v>
      </c>
      <c r="G14" s="251"/>
      <c r="H14" s="265" t="str">
        <f>IF(G14&gt;0.1,IF([1]Acc!O33=99999,"N/A",[1]Acc!O33*G14),"")</f>
        <v/>
      </c>
      <c r="I14" s="251" t="str">
        <f>IF(B1="H",3000,IF(B1="MH",2500,IF(B1="LH",1500,IF(B1="A",80,""))))</f>
        <v/>
      </c>
      <c r="K14" s="265" t="s">
        <v>140</v>
      </c>
      <c r="L14" s="265" t="s">
        <v>189</v>
      </c>
      <c r="M14" s="265" t="str">
        <f t="shared" si="0"/>
        <v/>
      </c>
      <c r="N14" s="250" t="s">
        <v>125</v>
      </c>
      <c r="O14" s="265"/>
      <c r="P14" s="265"/>
    </row>
    <row r="15" spans="1:16" ht="13.5" thickTop="1">
      <c r="A15" s="252" t="s">
        <v>190</v>
      </c>
      <c r="B15" s="272"/>
      <c r="C15" s="260"/>
      <c r="D15" s="273">
        <v>1</v>
      </c>
      <c r="E15" s="271"/>
      <c r="F15" s="252" t="s">
        <v>191</v>
      </c>
      <c r="G15" s="251"/>
      <c r="H15" s="265" t="str">
        <f>IF(G15&gt;0.1,IF([1]Acc!P33=99999,"N/A",[1]Acc!P33*G15),"")</f>
        <v/>
      </c>
      <c r="I15" s="271" t="s">
        <v>192</v>
      </c>
      <c r="K15" s="265" t="s">
        <v>141</v>
      </c>
      <c r="L15" s="265" t="s">
        <v>193</v>
      </c>
      <c r="M15" s="265" t="str">
        <f t="shared" si="0"/>
        <v/>
      </c>
      <c r="N15" s="251" t="s">
        <v>125</v>
      </c>
    </row>
    <row r="16" spans="1:16">
      <c r="A16" s="252" t="s">
        <v>194</v>
      </c>
      <c r="B16" s="255"/>
      <c r="C16" s="260"/>
      <c r="F16" s="252" t="s">
        <v>195</v>
      </c>
      <c r="G16" s="251"/>
      <c r="H16" s="265" t="str">
        <f>IF(G16&gt;0.1,IF([1]Acc!Q33=99999,"N/A",[1]Acc!Q33*G16),"")</f>
        <v/>
      </c>
      <c r="I16" s="251">
        <f>IF(OR(B3="HM",B3="MH",B3="H",B3="IMH",B3="IHM",B3="IH"),3000,IF(B3="LH",1500,IF(OR(B3="VA",B3="A"),100)))</f>
        <v>3000</v>
      </c>
      <c r="K16" s="265" t="s">
        <v>142</v>
      </c>
      <c r="L16" s="265" t="s">
        <v>196</v>
      </c>
      <c r="M16" s="265" t="str">
        <f t="shared" si="0"/>
        <v/>
      </c>
      <c r="N16" s="251" t="s">
        <v>125</v>
      </c>
    </row>
    <row r="17" spans="1:34">
      <c r="A17" s="252" t="s">
        <v>197</v>
      </c>
      <c r="B17" s="255"/>
      <c r="C17" s="260"/>
      <c r="D17" s="251" t="s">
        <v>198</v>
      </c>
      <c r="F17" s="252" t="s">
        <v>199</v>
      </c>
      <c r="G17" s="251"/>
      <c r="H17" s="265" t="str">
        <f>IF(G17&gt;0.1,[1]Acc!R33*G17,"")</f>
        <v/>
      </c>
      <c r="I17" s="251" t="s">
        <v>200</v>
      </c>
      <c r="K17" s="265" t="s">
        <v>143</v>
      </c>
      <c r="L17" s="250" t="s">
        <v>201</v>
      </c>
      <c r="M17" s="265" t="str">
        <f t="shared" si="0"/>
        <v/>
      </c>
      <c r="N17" s="251" t="s">
        <v>125</v>
      </c>
    </row>
    <row r="18" spans="1:34">
      <c r="A18" s="252" t="s">
        <v>202</v>
      </c>
      <c r="B18" s="255"/>
      <c r="C18" s="260"/>
      <c r="D18" s="251"/>
      <c r="F18" s="252" t="s">
        <v>203</v>
      </c>
      <c r="G18" s="251"/>
      <c r="H18" s="265" t="str">
        <f>IF(G18&gt;0.1,[1]Acc!S33*G18,"")</f>
        <v/>
      </c>
      <c r="I18" s="251">
        <f>ROUNDUP(IF(OR(B3="IMH",B3="IHM",B3="IH"),((((B4/25.4)/2)*((B4/25.4)/2))*3.1416)*I16,(((B4/2)*((B4/2))*3.1416)*I16)),0)</f>
        <v>58905</v>
      </c>
      <c r="K18" s="265" t="s">
        <v>144</v>
      </c>
      <c r="L18" s="265" t="s">
        <v>204</v>
      </c>
      <c r="M18" s="265" t="str">
        <f t="shared" si="0"/>
        <v/>
      </c>
      <c r="N18" s="250" t="s">
        <v>125</v>
      </c>
      <c r="P18" s="250">
        <f>(((($B$4)*2)*(($B$4)*2))*3.1416)*$I$16</f>
        <v>942479.99999999988</v>
      </c>
    </row>
    <row r="19" spans="1:34">
      <c r="A19" s="252" t="s">
        <v>205</v>
      </c>
      <c r="B19" s="255"/>
      <c r="C19" s="260"/>
      <c r="F19" s="274" t="s">
        <v>206</v>
      </c>
      <c r="G19" s="251"/>
      <c r="H19" s="265" t="str">
        <f>IF(G19&gt;0.1,[1]Acc!O48*G19,"")</f>
        <v/>
      </c>
      <c r="I19" s="251" t="s">
        <v>207</v>
      </c>
      <c r="K19" s="265" t="s">
        <v>145</v>
      </c>
      <c r="L19" s="250" t="s">
        <v>208</v>
      </c>
      <c r="M19" s="265" t="str">
        <f t="shared" si="0"/>
        <v/>
      </c>
      <c r="N19" s="250" t="s">
        <v>125</v>
      </c>
      <c r="P19" s="250">
        <f>((((80/25.4)/2)*((80/25.4)/2))*3.1416)*3000</f>
        <v>23373.550747101493</v>
      </c>
    </row>
    <row r="20" spans="1:34">
      <c r="A20" s="252" t="s">
        <v>209</v>
      </c>
      <c r="B20" s="255"/>
      <c r="C20" s="260"/>
      <c r="F20" s="252" t="s">
        <v>210</v>
      </c>
      <c r="G20" s="251"/>
      <c r="H20" s="265" t="str">
        <f>IF(G20&gt;0.1,[1]Acc!S48*G20,"")</f>
        <v/>
      </c>
      <c r="I20" s="273">
        <f>ROUNDUP(IF(OR(B3="IMH",B3="IHM",B3="IH"),(((((B4/25.4)/2)*((B4/25.4)/2))*3.1416)*I16)-(((((B6/25.4)/2)*((B6/25.4)/2))*3.1416)*I16),(((((B4/2)*(B4/2))*3.1416)*I16)-((((B6/2)*(B6/2))*3.1416)*I16))),)</f>
        <v>49481</v>
      </c>
      <c r="K20" s="265" t="s">
        <v>146</v>
      </c>
      <c r="L20" s="265" t="s">
        <v>211</v>
      </c>
      <c r="M20" s="265" t="str">
        <f t="shared" si="0"/>
        <v/>
      </c>
      <c r="N20" s="250" t="s">
        <v>125</v>
      </c>
    </row>
    <row r="21" spans="1:34">
      <c r="A21" s="252" t="s">
        <v>212</v>
      </c>
      <c r="B21" s="255"/>
      <c r="C21" s="260"/>
      <c r="F21" s="252" t="s">
        <v>213</v>
      </c>
      <c r="G21" s="251"/>
      <c r="H21" s="265" t="str">
        <f>IF(G21&gt;0.1,[1]Acc!P48,"")</f>
        <v/>
      </c>
      <c r="K21" s="265" t="s">
        <v>147</v>
      </c>
      <c r="L21" s="265" t="s">
        <v>214</v>
      </c>
      <c r="M21" s="265" t="str">
        <f t="shared" si="0"/>
        <v/>
      </c>
      <c r="N21" s="250" t="s">
        <v>125</v>
      </c>
    </row>
    <row r="22" spans="1:34">
      <c r="A22" s="252" t="s">
        <v>215</v>
      </c>
      <c r="B22" s="255"/>
      <c r="C22" s="260"/>
      <c r="F22" s="252" t="s">
        <v>216</v>
      </c>
      <c r="G22" s="251"/>
      <c r="H22" s="265" t="str">
        <f>IF(G22&gt;0.1,[1]Acc!T48*G22,"")</f>
        <v/>
      </c>
      <c r="I22" s="250">
        <v>80</v>
      </c>
      <c r="K22" s="265" t="s">
        <v>148</v>
      </c>
      <c r="L22" s="265" t="s">
        <v>217</v>
      </c>
      <c r="M22" s="265" t="str">
        <f t="shared" si="0"/>
        <v/>
      </c>
      <c r="N22" s="250" t="s">
        <v>125</v>
      </c>
      <c r="Q22" s="250" t="s">
        <v>218</v>
      </c>
    </row>
    <row r="23" spans="1:34">
      <c r="A23" s="252" t="s">
        <v>219</v>
      </c>
      <c r="B23" s="255"/>
      <c r="C23" s="260"/>
      <c r="D23" s="251" t="str">
        <f>IF(OR(D15=1,D15=2),"Male",IF(D15=3,"Female",IF(D15=4,"SC",IF(D15=4,"Special",""))))</f>
        <v>Male</v>
      </c>
      <c r="F23" s="250" t="s">
        <v>220</v>
      </c>
      <c r="H23" s="275">
        <f>SUM(H8:H22)+H25</f>
        <v>0</v>
      </c>
      <c r="I23" s="250">
        <v>100</v>
      </c>
      <c r="K23" s="265" t="s">
        <v>149</v>
      </c>
      <c r="L23" s="265" t="s">
        <v>221</v>
      </c>
      <c r="M23" s="265" t="str">
        <f t="shared" si="0"/>
        <v/>
      </c>
      <c r="N23" s="250" t="s">
        <v>125</v>
      </c>
    </row>
    <row r="24" spans="1:34">
      <c r="A24" s="252" t="s">
        <v>222</v>
      </c>
      <c r="B24" s="255"/>
      <c r="C24" s="260"/>
      <c r="D24" s="251" t="s">
        <v>223</v>
      </c>
      <c r="F24" s="252" t="s">
        <v>224</v>
      </c>
      <c r="H24" s="276"/>
      <c r="I24" s="250">
        <v>120</v>
      </c>
      <c r="K24" s="265" t="s">
        <v>150</v>
      </c>
      <c r="L24" s="265" t="s">
        <v>225</v>
      </c>
      <c r="M24" s="265" t="str">
        <f t="shared" si="0"/>
        <v/>
      </c>
      <c r="N24" s="250" t="s">
        <v>125</v>
      </c>
      <c r="Q24" s="250">
        <f>ROUNDUP(IF(OR(B3="IMH",B3="IHM",B3="IH"),((((B4/25.4)/2)*((B4/25.4)/2))*3.1416)*I16,(((B4/2)*((B4/2))*3.1416)*I16)),0)</f>
        <v>58905</v>
      </c>
    </row>
    <row r="25" spans="1:34">
      <c r="A25" s="252" t="s">
        <v>226</v>
      </c>
      <c r="B25" s="255"/>
      <c r="C25" s="260"/>
      <c r="D25" s="277"/>
      <c r="F25" s="252" t="s">
        <v>227</v>
      </c>
      <c r="H25" s="250">
        <f>[1]Acc!D69</f>
        <v>0</v>
      </c>
      <c r="I25" s="250">
        <v>250</v>
      </c>
      <c r="K25" s="265" t="s">
        <v>151</v>
      </c>
      <c r="L25" s="265" t="s">
        <v>228</v>
      </c>
      <c r="M25" s="265" t="str">
        <f t="shared" si="0"/>
        <v/>
      </c>
      <c r="N25" s="250" t="s">
        <v>125</v>
      </c>
      <c r="Q25" s="250">
        <f>ROUNDUP(IF(OR(B3="IMH",B3="IHM",B3="IH"),(((((B4/25.4)/2)*((B4/25.4)/2))*3.1416)*I16)-(((((B6/25.4)/2)*((B6/25.4)/2))*3.1416)*I16),(((((B4/2)*(B4/2))*3.1416)*I16)-((((B6/2)*(B6/2))*3.1416)*I16))),)</f>
        <v>49481</v>
      </c>
    </row>
    <row r="26" spans="1:34">
      <c r="A26" s="252" t="s">
        <v>229</v>
      </c>
      <c r="B26" s="255"/>
      <c r="C26" s="260"/>
      <c r="D26" s="251" t="s">
        <v>230</v>
      </c>
      <c r="F26" s="278"/>
      <c r="G26" s="251"/>
      <c r="H26" s="275" t="str">
        <f>IF(G26="","",[1]ShipVia!C24*G26)</f>
        <v/>
      </c>
      <c r="I26" s="250">
        <v>500</v>
      </c>
      <c r="K26" s="265" t="s">
        <v>152</v>
      </c>
      <c r="L26" s="265" t="s">
        <v>231</v>
      </c>
      <c r="M26" s="265" t="str">
        <f t="shared" si="0"/>
        <v/>
      </c>
      <c r="N26" s="250" t="s">
        <v>125</v>
      </c>
    </row>
    <row r="27" spans="1:34" ht="13.5" thickBot="1">
      <c r="A27" s="252" t="s">
        <v>232</v>
      </c>
      <c r="B27" s="279"/>
      <c r="C27" s="260"/>
      <c r="D27" s="251">
        <f>S49</f>
        <v>122.8</v>
      </c>
      <c r="F27" s="278"/>
      <c r="G27" s="251"/>
      <c r="H27" s="275" t="str">
        <f>IF(G27="","",[1]ShipVia!C25*G27)</f>
        <v/>
      </c>
      <c r="I27" s="250">
        <v>1000</v>
      </c>
      <c r="K27" s="265" t="s">
        <v>153</v>
      </c>
      <c r="L27" s="265" t="s">
        <v>233</v>
      </c>
      <c r="M27" s="265" t="str">
        <f t="shared" si="0"/>
        <v/>
      </c>
      <c r="N27" s="250" t="s">
        <v>125</v>
      </c>
    </row>
    <row r="28" spans="1:34" ht="14.25" customHeight="1" thickTop="1">
      <c r="A28" s="280"/>
      <c r="B28" s="281"/>
      <c r="C28" s="260"/>
      <c r="D28" s="250" t="str">
        <f>IF(B7="Are","Adjustable Rod End",IF(B7="ACE","Adjustable Cap End",IF(B7="ABE","Adjustable Both Ends",IF(B7="nc","Non Cushion",IF(B7="re","Rod End Cushion",IF(B7="CE","Cap End Cushion",IF(B7="BE","Both Ends Cushioned","")))))))</f>
        <v>Non Cushion</v>
      </c>
      <c r="F28" s="278"/>
      <c r="G28" s="251"/>
      <c r="H28" s="275" t="str">
        <f>IF(G28="","",[1]ShipVia!C26*G28)</f>
        <v/>
      </c>
      <c r="I28" s="250">
        <v>1500</v>
      </c>
      <c r="K28" s="265" t="s">
        <v>154</v>
      </c>
      <c r="L28" s="265" t="s">
        <v>234</v>
      </c>
      <c r="M28" s="265" t="str">
        <f t="shared" si="0"/>
        <v/>
      </c>
      <c r="N28" s="250" t="s">
        <v>125</v>
      </c>
      <c r="T28" s="250" t="s">
        <v>235</v>
      </c>
      <c r="Y28" s="250" t="s">
        <v>236</v>
      </c>
      <c r="AF28" s="282" t="s">
        <v>16</v>
      </c>
      <c r="AG28" s="283" t="s">
        <v>237</v>
      </c>
      <c r="AH28" s="284" t="s">
        <v>238</v>
      </c>
    </row>
    <row r="29" spans="1:34">
      <c r="B29" s="285"/>
      <c r="C29" s="260"/>
      <c r="F29" s="278"/>
      <c r="G29" s="251"/>
      <c r="H29" s="275" t="str">
        <f>IF(G29="","",[1]ShipVia!C27*G29)</f>
        <v/>
      </c>
      <c r="I29" s="250">
        <v>2000</v>
      </c>
      <c r="K29" s="265" t="s">
        <v>155</v>
      </c>
      <c r="L29" s="265" t="s">
        <v>239</v>
      </c>
      <c r="M29" s="265" t="str">
        <f t="shared" si="0"/>
        <v/>
      </c>
      <c r="N29" s="250" t="s">
        <v>125</v>
      </c>
      <c r="T29" s="286" t="s">
        <v>16</v>
      </c>
      <c r="U29" s="286" t="s">
        <v>17</v>
      </c>
      <c r="V29" s="287" t="s">
        <v>240</v>
      </c>
      <c r="W29" s="283" t="s">
        <v>241</v>
      </c>
      <c r="X29" s="283"/>
      <c r="Y29" s="286" t="s">
        <v>16</v>
      </c>
      <c r="Z29" s="286" t="s">
        <v>17</v>
      </c>
      <c r="AA29" s="287" t="s">
        <v>240</v>
      </c>
      <c r="AB29" s="283" t="s">
        <v>241</v>
      </c>
      <c r="AC29" s="283"/>
      <c r="AF29" s="282"/>
      <c r="AG29" s="283"/>
      <c r="AH29" s="284"/>
    </row>
    <row r="30" spans="1:34">
      <c r="C30" s="260"/>
      <c r="D30" s="250" t="str">
        <f>IF(B10="p","Polyurethane",IF(B10="b","Nitrile",IF(B10="V","Viton",IF(B10="C","Cast Iron Piston Rings",IF(B10="L","Low Friction/High Load",IF(B10="H","Highly Saturated Nitrile",""))))))</f>
        <v>Polyurethane</v>
      </c>
      <c r="F30" s="278"/>
      <c r="G30" s="251"/>
      <c r="H30" s="275" t="str">
        <f>IF(G30="","",[1]ShipVia!C28*G30)</f>
        <v/>
      </c>
      <c r="I30" s="250">
        <v>2500</v>
      </c>
      <c r="K30" s="265" t="s">
        <v>156</v>
      </c>
      <c r="L30" s="265" t="s">
        <v>242</v>
      </c>
      <c r="M30" s="265" t="str">
        <f t="shared" si="0"/>
        <v/>
      </c>
      <c r="N30" s="250" t="s">
        <v>125</v>
      </c>
      <c r="T30" s="286" t="s">
        <v>243</v>
      </c>
      <c r="U30" s="286" t="s">
        <v>244</v>
      </c>
      <c r="V30" s="287" t="s">
        <v>168</v>
      </c>
      <c r="W30" s="283"/>
      <c r="X30" s="283"/>
      <c r="Y30" s="286" t="s">
        <v>243</v>
      </c>
      <c r="Z30" s="286" t="s">
        <v>244</v>
      </c>
      <c r="AA30" s="287" t="s">
        <v>168</v>
      </c>
      <c r="AB30" s="283"/>
      <c r="AC30" s="283"/>
      <c r="AF30" s="282"/>
      <c r="AG30" s="283"/>
      <c r="AH30" s="284"/>
    </row>
    <row r="31" spans="1:34">
      <c r="C31" s="258"/>
      <c r="F31" s="278"/>
      <c r="G31" s="251"/>
      <c r="H31" s="275" t="str">
        <f>IF(G31="","",[1]ShipVia!C29*G31)</f>
        <v/>
      </c>
      <c r="I31" s="250">
        <v>3000</v>
      </c>
      <c r="K31" s="265" t="s">
        <v>157</v>
      </c>
      <c r="L31" s="265" t="s">
        <v>198</v>
      </c>
      <c r="M31" s="265" t="str">
        <f t="shared" si="0"/>
        <v/>
      </c>
      <c r="S31" s="250" t="str">
        <f>IF(AND(OR($B$3="H",$B$3="HM"),$B$4=1.5,$B$6=0.625),$V31+$W31*$B$8,"")</f>
        <v/>
      </c>
      <c r="T31" s="288">
        <v>1.5</v>
      </c>
      <c r="U31" s="289">
        <v>0.625</v>
      </c>
      <c r="V31" s="290">
        <v>9</v>
      </c>
      <c r="W31" s="291">
        <v>0.5</v>
      </c>
      <c r="X31" s="291"/>
      <c r="Y31" s="288">
        <v>1.5</v>
      </c>
      <c r="Z31" s="289">
        <v>0.625</v>
      </c>
      <c r="AA31" s="290">
        <v>6</v>
      </c>
      <c r="AB31" s="292">
        <v>0.35</v>
      </c>
      <c r="AC31" s="292"/>
      <c r="AD31" s="250" t="str">
        <f>IF(AND(OR($B$3="LH",$B$3="A"),$B$4=1.5,$B$6=0.625),$AA31+$AB31*$B$8,"")</f>
        <v/>
      </c>
      <c r="AE31" s="250" t="str">
        <f>IF(AND($B$3="VA",$B$4=2.5),$AG31+$AH31*$B$8,"")</f>
        <v/>
      </c>
      <c r="AF31" s="293">
        <v>2.5</v>
      </c>
      <c r="AG31" s="294">
        <v>5.3</v>
      </c>
      <c r="AH31" s="295">
        <v>0.4</v>
      </c>
    </row>
    <row r="32" spans="1:34">
      <c r="C32" s="258"/>
      <c r="F32" s="278"/>
      <c r="G32" s="251"/>
      <c r="H32" s="275"/>
      <c r="I32" s="250">
        <v>3500</v>
      </c>
      <c r="S32" s="250" t="str">
        <f>IF(AND(OR(OR($B$3="H",$B$3="HM"),$B$3="HM"),$B$4=1.5,$B$6=1),$V32+$W32*$B$8,"")</f>
        <v/>
      </c>
      <c r="T32" s="288"/>
      <c r="U32" s="288">
        <v>1</v>
      </c>
      <c r="V32" s="290">
        <v>9.3000000000000007</v>
      </c>
      <c r="W32" s="291">
        <v>0.6</v>
      </c>
      <c r="X32" s="291"/>
      <c r="Y32" s="288"/>
      <c r="Z32" s="288">
        <v>1</v>
      </c>
      <c r="AA32" s="290">
        <v>6.3</v>
      </c>
      <c r="AB32" s="292">
        <v>0.5</v>
      </c>
      <c r="AC32" s="292"/>
      <c r="AD32" s="250" t="str">
        <f>IF(AND(OR($B$3="LH",$B$3="A"),$B$4=1.5,$B$6=1),$AA32+$AB32*$B$8,"")</f>
        <v/>
      </c>
      <c r="AE32" s="250" t="str">
        <f>IF(AND($B$3="VA",$B$4=3.25),$AG32+$AH32*$B$8,"")</f>
        <v/>
      </c>
      <c r="AF32" s="293">
        <v>3.25</v>
      </c>
      <c r="AG32" s="294">
        <v>9.5</v>
      </c>
      <c r="AH32" s="295">
        <v>0.6</v>
      </c>
    </row>
    <row r="33" spans="1:34">
      <c r="C33" s="258"/>
      <c r="H33" s="265">
        <f>SUM(H26:H32)</f>
        <v>0</v>
      </c>
      <c r="I33" s="250">
        <v>4000</v>
      </c>
      <c r="S33" s="250" t="str">
        <f>IF(AND(OR(OR($B$3="H",$B$3="HM"),$B$3="HM"),$B$4=2,$B$6=1),$V33+$W33*$B$8,"")</f>
        <v/>
      </c>
      <c r="T33" s="288">
        <v>2</v>
      </c>
      <c r="U33" s="288">
        <v>1</v>
      </c>
      <c r="V33" s="290">
        <v>13.2</v>
      </c>
      <c r="W33" s="291">
        <v>0.8</v>
      </c>
      <c r="X33" s="291"/>
      <c r="Y33" s="288">
        <v>2</v>
      </c>
      <c r="Z33" s="289">
        <v>0.625</v>
      </c>
      <c r="AA33" s="290">
        <v>8</v>
      </c>
      <c r="AB33" s="292">
        <v>0.6</v>
      </c>
      <c r="AC33" s="292"/>
      <c r="AD33" s="250" t="str">
        <f>IF(AND(OR($B$3="LH",$B$3="A"),$B$4=2,$B$6=0.625),$AA33+$AB33*$B$8,"")</f>
        <v/>
      </c>
      <c r="AE33" s="250" t="str">
        <f>IF(AND($B$3="VA",$B$4=4),$AG33+$AH33*$B$8,"")</f>
        <v/>
      </c>
      <c r="AF33" s="293">
        <v>4</v>
      </c>
      <c r="AG33" s="294">
        <v>14.7</v>
      </c>
      <c r="AH33" s="295">
        <v>0.8</v>
      </c>
    </row>
    <row r="34" spans="1:34" ht="13.5" thickBot="1">
      <c r="A34" s="251" t="s">
        <v>177</v>
      </c>
      <c r="B34" s="251"/>
      <c r="C34" s="260" t="str">
        <f t="shared" ref="C34:C74" si="1">IF(B34="","",A34)</f>
        <v/>
      </c>
      <c r="D34" s="265" t="str">
        <f t="shared" ref="D34:D73" si="2">IF(B34="","",B34)</f>
        <v/>
      </c>
      <c r="E34" s="269"/>
      <c r="I34" s="250">
        <v>5000</v>
      </c>
      <c r="S34" s="250" t="str">
        <f>IF(AND(OR(OR($B$3="H",$B$3="HM"),$B$3="HM"),$B$4=2,$B$6=1.375),$V34+$W34*$B$8,"")</f>
        <v/>
      </c>
      <c r="T34" s="296"/>
      <c r="U34" s="289">
        <v>1.375</v>
      </c>
      <c r="V34" s="290">
        <v>17.100000000000001</v>
      </c>
      <c r="W34" s="291">
        <v>1</v>
      </c>
      <c r="X34" s="291"/>
      <c r="Y34" s="296"/>
      <c r="Z34" s="289">
        <v>1.375</v>
      </c>
      <c r="AA34" s="290">
        <v>9</v>
      </c>
      <c r="AB34" s="292">
        <v>1</v>
      </c>
      <c r="AC34" s="292"/>
      <c r="AD34" s="250" t="str">
        <f>IF(AND(OR($B$3="LH",$B$3="A"),$B$4=2,OR($B$6=1,$B$6=1.375)),$AA34+$AB34*$B$8,"")</f>
        <v/>
      </c>
      <c r="AE34" s="250" t="str">
        <f>IF(AND($B$3="VA",$B$4=5),$AG34+$AH34*$B$8,"")</f>
        <v/>
      </c>
      <c r="AF34" s="293">
        <v>5</v>
      </c>
      <c r="AG34" s="294">
        <v>22.9</v>
      </c>
      <c r="AH34" s="295">
        <v>1</v>
      </c>
    </row>
    <row r="35" spans="1:34" ht="13.5" thickBot="1">
      <c r="A35" s="250" t="s">
        <v>180</v>
      </c>
      <c r="B35" s="251"/>
      <c r="C35" s="260" t="str">
        <f t="shared" si="1"/>
        <v/>
      </c>
      <c r="D35" s="265" t="str">
        <f t="shared" si="2"/>
        <v/>
      </c>
      <c r="E35" s="269"/>
      <c r="K35" s="297" t="s">
        <v>245</v>
      </c>
      <c r="L35" s="298"/>
      <c r="S35" s="250" t="str">
        <f>IF(AND(OR(OR($B$3="H",$B$3="HM"),$B$3="HM"),$B$4=2.5,OR($B$6=1.375,$B$6=1)),$V35+$W35*$B$8,"")</f>
        <v/>
      </c>
      <c r="T35" s="288">
        <v>2.5</v>
      </c>
      <c r="U35" s="288">
        <v>1</v>
      </c>
      <c r="V35" s="290">
        <v>19.5</v>
      </c>
      <c r="W35" s="291">
        <v>1.1000000000000001</v>
      </c>
      <c r="X35" s="291"/>
      <c r="Y35" s="288">
        <v>2.5</v>
      </c>
      <c r="Z35" s="289">
        <v>0.625</v>
      </c>
      <c r="AA35" s="290">
        <v>11</v>
      </c>
      <c r="AB35" s="292">
        <v>0.9</v>
      </c>
      <c r="AC35" s="292"/>
      <c r="AD35" s="250" t="str">
        <f>IF(AND(OR($B$3="LH",$B$3="A"),$B$4=2.5,OR($B$6=0.625,$B$6=1)),$AA35+$AB35*$B$8,"")</f>
        <v/>
      </c>
      <c r="AE35" s="250" t="str">
        <f>IF(AND($B$3="VA",$B$4=6),$AG35+$AH35*$B$8,"")</f>
        <v/>
      </c>
      <c r="AF35" s="293">
        <v>6</v>
      </c>
      <c r="AG35" s="294">
        <v>34.6</v>
      </c>
      <c r="AH35" s="295">
        <v>1.1000000000000001</v>
      </c>
    </row>
    <row r="36" spans="1:34">
      <c r="A36" s="251" t="s">
        <v>183</v>
      </c>
      <c r="B36" s="251"/>
      <c r="C36" s="260" t="str">
        <f t="shared" si="1"/>
        <v/>
      </c>
      <c r="D36" s="265" t="str">
        <f t="shared" si="2"/>
        <v/>
      </c>
      <c r="E36" s="269"/>
      <c r="S36" s="250" t="str">
        <f>IF(AND(OR($B$3="H",$B$3="HM"),$B$4=2.5,$B$6=1.75),$V36+$W36*$B$8,"")</f>
        <v/>
      </c>
      <c r="T36" s="288"/>
      <c r="U36" s="296">
        <v>1.75</v>
      </c>
      <c r="V36" s="290">
        <v>25.5</v>
      </c>
      <c r="W36" s="291">
        <v>1.5</v>
      </c>
      <c r="X36" s="291"/>
      <c r="Y36" s="288"/>
      <c r="Z36" s="296">
        <v>1.75</v>
      </c>
      <c r="AA36" s="290">
        <v>12</v>
      </c>
      <c r="AB36" s="292">
        <v>1.5</v>
      </c>
      <c r="AC36" s="292"/>
      <c r="AD36" s="250" t="str">
        <f>IF(AND(OR($B$3="LH",$B$3="A"),$B$4=2.5,OR($B$6=1.75,$B$6=1.375)),$AA36+$AB36*$B$8,"")</f>
        <v/>
      </c>
      <c r="AE36" s="250" t="str">
        <f>IF(AND($B$3="VA",$B$4=7),$AG36+$AH36*$B$8,"")</f>
        <v/>
      </c>
      <c r="AF36" s="293">
        <v>7</v>
      </c>
      <c r="AG36" s="294">
        <v>50.3</v>
      </c>
      <c r="AH36" s="295">
        <v>1.6</v>
      </c>
    </row>
    <row r="37" spans="1:34">
      <c r="A37" s="251" t="s">
        <v>186</v>
      </c>
      <c r="B37" s="251"/>
      <c r="C37" s="260" t="str">
        <f t="shared" si="1"/>
        <v/>
      </c>
      <c r="D37" s="265" t="str">
        <f t="shared" si="2"/>
        <v/>
      </c>
      <c r="E37" s="269"/>
      <c r="S37" s="250" t="str">
        <f>IF(AND(OR($B$3="H",$B$3="HM"),$B$4=3.25,OR($B$6=1.375,$B$6=1.75)),$V37+$W37*$B$8,"")</f>
        <v/>
      </c>
      <c r="T37" s="296">
        <v>3.25</v>
      </c>
      <c r="U37" s="289">
        <v>1.375</v>
      </c>
      <c r="V37" s="290">
        <v>41</v>
      </c>
      <c r="W37" s="291">
        <v>1.8</v>
      </c>
      <c r="X37" s="291"/>
      <c r="Y37" s="296">
        <v>3.25</v>
      </c>
      <c r="Z37" s="288">
        <v>1</v>
      </c>
      <c r="AA37" s="290">
        <v>22</v>
      </c>
      <c r="AB37" s="292">
        <v>0.9</v>
      </c>
      <c r="AC37" s="292"/>
      <c r="AD37" s="250" t="str">
        <f>IF(AND(OR($B$3="LH",$B$3="A"),$B$4=3.25,OR($B$6=1.375,$B$6=1)),$AA37+$AB37*$B$8,"")</f>
        <v/>
      </c>
      <c r="AE37" s="250" t="str">
        <f>IF(AND($B$3="VA",$B$4=8),$AG37+$AH37*$B$8,"")</f>
        <v/>
      </c>
      <c r="AF37" s="293">
        <v>8</v>
      </c>
      <c r="AG37" s="294">
        <v>66.7</v>
      </c>
      <c r="AH37" s="295">
        <v>2</v>
      </c>
    </row>
    <row r="38" spans="1:34">
      <c r="A38" s="251" t="s">
        <v>190</v>
      </c>
      <c r="B38" s="251"/>
      <c r="C38" s="260" t="str">
        <f t="shared" si="1"/>
        <v/>
      </c>
      <c r="D38" s="265" t="str">
        <f t="shared" si="2"/>
        <v/>
      </c>
      <c r="E38" s="269"/>
      <c r="S38" s="250" t="str">
        <f>IF(AND(OR($B$3="H",$B$3="HM"),$B$4=3.25,$B$6=2),$V38+$W38*$B$8,"")</f>
        <v/>
      </c>
      <c r="T38" s="288"/>
      <c r="U38" s="288">
        <v>2</v>
      </c>
      <c r="V38" s="290">
        <v>46</v>
      </c>
      <c r="W38" s="291">
        <v>2.2000000000000002</v>
      </c>
      <c r="X38" s="291"/>
      <c r="Y38" s="288"/>
      <c r="Z38" s="288">
        <v>2</v>
      </c>
      <c r="AA38" s="290">
        <v>23</v>
      </c>
      <c r="AB38" s="292">
        <v>2</v>
      </c>
      <c r="AC38" s="292"/>
      <c r="AD38" s="250" t="str">
        <f>IF(AND(OR($B$3="LH",$B$3="A"),$B$4=3.25,OR($B$6=1.75,$B$6=2)),$AA38+$AB38*$B$8,"")</f>
        <v/>
      </c>
      <c r="AE38" s="250" t="str">
        <f>IF(AND($B$3="VA",$B$4=10),$AG38+$AH38*$B$8,"")</f>
        <v/>
      </c>
      <c r="AF38" s="299">
        <v>10</v>
      </c>
      <c r="AG38" s="294">
        <v>122.3</v>
      </c>
      <c r="AH38" s="295">
        <v>1.1000000000000001</v>
      </c>
    </row>
    <row r="39" spans="1:34">
      <c r="A39" s="251" t="s">
        <v>194</v>
      </c>
      <c r="B39" s="251"/>
      <c r="C39" s="260" t="str">
        <f t="shared" si="1"/>
        <v/>
      </c>
      <c r="D39" s="265" t="str">
        <f t="shared" si="2"/>
        <v/>
      </c>
      <c r="E39" s="269"/>
      <c r="S39" s="250" t="str">
        <f>IF(AND(OR($B$3="H",$B$3="HM"),$B$4=4,OR($B$6=1.75,$B$6=2)),$V39+$W39*$B$8,"")</f>
        <v/>
      </c>
      <c r="T39" s="288">
        <v>4</v>
      </c>
      <c r="U39" s="296">
        <v>1.75</v>
      </c>
      <c r="V39" s="290">
        <v>53</v>
      </c>
      <c r="W39" s="291">
        <v>2.5</v>
      </c>
      <c r="X39" s="291"/>
      <c r="Y39" s="288">
        <v>4</v>
      </c>
      <c r="Z39" s="288">
        <v>1</v>
      </c>
      <c r="AA39" s="290">
        <v>30</v>
      </c>
      <c r="AB39" s="292">
        <v>1.2</v>
      </c>
      <c r="AC39" s="292"/>
      <c r="AD39" s="250" t="str">
        <f>IF(AND(OR($B$3="LH",$B$3="A"),$B$4=4,OR($B$6=1.375,$B$6=1)),$AA39+$AB39*$B$8,"")</f>
        <v/>
      </c>
      <c r="AE39" s="250" t="str">
        <f>IF(AND($B$3="VA",$B$4=12),$AG39+$AH39*$B$8,"")</f>
        <v/>
      </c>
      <c r="AF39" s="299">
        <v>12</v>
      </c>
      <c r="AG39" s="294">
        <v>169.5</v>
      </c>
      <c r="AH39" s="295">
        <v>1.4</v>
      </c>
    </row>
    <row r="40" spans="1:34">
      <c r="A40" s="251" t="s">
        <v>197</v>
      </c>
      <c r="B40" s="251"/>
      <c r="C40" s="260" t="str">
        <f t="shared" si="1"/>
        <v/>
      </c>
      <c r="D40" s="265" t="str">
        <f t="shared" si="2"/>
        <v/>
      </c>
      <c r="E40" s="269"/>
      <c r="L40" s="300" t="s">
        <v>246</v>
      </c>
      <c r="M40" s="301">
        <v>27</v>
      </c>
      <c r="N40" s="302"/>
      <c r="S40" s="250" t="str">
        <f>IF(AND(OR($B$3="H",$B$3="HM"),$B$4=4,$B$6=2.5),$V40+$W40*$B$8,"")</f>
        <v/>
      </c>
      <c r="T40" s="288"/>
      <c r="U40" s="288">
        <v>2.5</v>
      </c>
      <c r="V40" s="290">
        <v>58</v>
      </c>
      <c r="W40" s="291">
        <v>3.2</v>
      </c>
      <c r="X40" s="291"/>
      <c r="Y40" s="288"/>
      <c r="Z40" s="288">
        <v>2</v>
      </c>
      <c r="AA40" s="290">
        <v>32</v>
      </c>
      <c r="AB40" s="291">
        <v>2.2000000000000002</v>
      </c>
      <c r="AC40" s="291"/>
      <c r="AD40" s="250" t="str">
        <f>IF(AND(OR($B$3="LH",$B$3="A"),$B$4=4,OR($B$6=1.75,$B$6=2)),$AA40+$AB40*$B$8,"")</f>
        <v/>
      </c>
      <c r="AE40" s="250" t="str">
        <f>IF(AND($B$3="VA",$B$4=14),$AG40+$AH40*$B$8,"")</f>
        <v/>
      </c>
      <c r="AF40" s="299">
        <v>14</v>
      </c>
      <c r="AG40" s="294">
        <v>264.3</v>
      </c>
      <c r="AH40" s="295">
        <v>1.6</v>
      </c>
    </row>
    <row r="41" spans="1:34">
      <c r="A41" s="251" t="s">
        <v>202</v>
      </c>
      <c r="B41" s="251"/>
      <c r="C41" s="260" t="str">
        <f t="shared" si="1"/>
        <v/>
      </c>
      <c r="D41" s="265" t="str">
        <f t="shared" si="2"/>
        <v/>
      </c>
      <c r="E41" s="269"/>
      <c r="L41" s="303">
        <v>1.375</v>
      </c>
      <c r="M41" s="304">
        <v>27</v>
      </c>
      <c r="N41" s="305">
        <f>ROUNDUP(SUM(N42:N50),0)</f>
        <v>501</v>
      </c>
      <c r="O41" s="264"/>
      <c r="S41" s="250">
        <f>IF(AND(OR($B$3="H",$B$3="HM"),$B$4=5,OR($B$6=2.5,$B$6=2)),$V41+$W41*$B$8,"")</f>
        <v>122.8</v>
      </c>
      <c r="T41" s="288">
        <v>5</v>
      </c>
      <c r="U41" s="288">
        <v>2</v>
      </c>
      <c r="V41" s="290">
        <v>82</v>
      </c>
      <c r="W41" s="291">
        <v>3.4</v>
      </c>
      <c r="X41" s="291"/>
      <c r="Y41" s="288">
        <v>5</v>
      </c>
      <c r="Z41" s="288">
        <v>1</v>
      </c>
      <c r="AA41" s="290">
        <v>45</v>
      </c>
      <c r="AB41" s="291">
        <v>2</v>
      </c>
      <c r="AC41" s="291"/>
      <c r="AD41" s="250" t="str">
        <f>IF(AND(OR($B$3="LH",$B$3="A"),$B$4=5,OR($B$6=1,$B$6=1.375)),$AA41+$AB41*$B$8,"")</f>
        <v/>
      </c>
      <c r="AE41" s="250" t="str">
        <f>IF(AND($B$3="VA",$B$4=16),$AG41+$AH41*$B$8,"")</f>
        <v/>
      </c>
      <c r="AF41" s="299">
        <v>16</v>
      </c>
      <c r="AG41" s="294">
        <v>365.1</v>
      </c>
      <c r="AH41" s="295">
        <v>2.2999999999999998</v>
      </c>
    </row>
    <row r="42" spans="1:34">
      <c r="A42" s="251" t="s">
        <v>205</v>
      </c>
      <c r="B42" s="251"/>
      <c r="C42" s="260" t="str">
        <f t="shared" si="1"/>
        <v/>
      </c>
      <c r="D42" s="265" t="str">
        <f t="shared" si="2"/>
        <v/>
      </c>
      <c r="E42" s="269"/>
      <c r="L42" s="306">
        <v>1</v>
      </c>
      <c r="M42" s="307">
        <v>2</v>
      </c>
      <c r="N42" s="308" t="str">
        <f>IF(L$41=L42,(M$41*M42)+M$40*10+150,"")</f>
        <v/>
      </c>
      <c r="O42" s="309"/>
      <c r="S42" s="250" t="str">
        <f>IF(AND(OR($B$3="H",$B$3="HM"),$B$4=5,OR($B$6=3,$B$6=3.5)),$V42+$W42*$B$8,"")</f>
        <v/>
      </c>
      <c r="T42" s="288"/>
      <c r="U42" s="288">
        <v>3.5</v>
      </c>
      <c r="V42" s="290">
        <v>86</v>
      </c>
      <c r="W42" s="291">
        <v>5.2</v>
      </c>
      <c r="X42" s="291"/>
      <c r="Y42" s="288"/>
      <c r="Z42" s="288">
        <v>2</v>
      </c>
      <c r="AA42" s="290">
        <v>48</v>
      </c>
      <c r="AB42" s="291">
        <v>2.5</v>
      </c>
      <c r="AC42" s="291"/>
      <c r="AD42" s="250" t="str">
        <f>IF(AND(OR($B$3="LH",$B$3="A"),$B$4=5,OR($B$6=1.75,$B$6=2)),$AA42+$AB42*$B$8,"")</f>
        <v/>
      </c>
      <c r="AE42" s="250" t="str">
        <f>IF(AND($B$3="VA",$B$4=18),$AG42+$AH42*$B$8,"")</f>
        <v/>
      </c>
      <c r="AF42" s="299">
        <v>18</v>
      </c>
      <c r="AG42" s="294">
        <v>480</v>
      </c>
      <c r="AH42" s="295">
        <v>2.8</v>
      </c>
    </row>
    <row r="43" spans="1:34">
      <c r="A43" s="251"/>
      <c r="B43" s="251"/>
      <c r="C43" s="260" t="str">
        <f t="shared" si="1"/>
        <v/>
      </c>
      <c r="D43" s="265" t="str">
        <f t="shared" si="2"/>
        <v/>
      </c>
      <c r="E43" s="269"/>
      <c r="I43" s="310"/>
      <c r="L43" s="306">
        <v>1.375</v>
      </c>
      <c r="M43" s="307">
        <v>3</v>
      </c>
      <c r="N43" s="308">
        <f t="shared" ref="N43:N50" si="3">IF(L$41=L43,(M$41*M43)+M$40*10+150,"")</f>
        <v>501</v>
      </c>
      <c r="O43" s="309"/>
      <c r="S43" s="250" t="str">
        <f>IF(AND(OR($B$3="H",$B$3="HM"),$B$4=6,OR($B$6=2.5,$B$6=3)),$V43+$W43*$B$8,"")</f>
        <v/>
      </c>
      <c r="T43" s="288">
        <v>6</v>
      </c>
      <c r="U43" s="296">
        <v>2.5</v>
      </c>
      <c r="V43" s="290">
        <v>133</v>
      </c>
      <c r="W43" s="291">
        <v>5.2</v>
      </c>
      <c r="X43" s="291"/>
      <c r="Y43" s="288">
        <v>6</v>
      </c>
      <c r="Z43" s="289">
        <v>1.375</v>
      </c>
      <c r="AA43" s="290">
        <v>70</v>
      </c>
      <c r="AB43" s="291">
        <v>2.5</v>
      </c>
      <c r="AC43" s="291"/>
      <c r="AD43" s="250" t="str">
        <f>IF(AND(OR($B$3="LH",$B$3="A"),$B$4=6,OR($B$6=1.375,$B$6=1.75)),$AA43+$AB43*$B$8,"")</f>
        <v/>
      </c>
      <c r="AE43" s="250" t="str">
        <f>IF(AND($B$3="VA",$B$4=20),$AG43+$AH43*$B$8,"")</f>
        <v/>
      </c>
      <c r="AF43" s="299">
        <v>20</v>
      </c>
      <c r="AG43" s="294">
        <v>733.3</v>
      </c>
      <c r="AH43" s="295">
        <v>3.2</v>
      </c>
    </row>
    <row r="44" spans="1:34">
      <c r="A44" s="251"/>
      <c r="B44" s="251"/>
      <c r="C44" s="260" t="str">
        <f t="shared" si="1"/>
        <v/>
      </c>
      <c r="D44" s="265" t="str">
        <f t="shared" si="2"/>
        <v/>
      </c>
      <c r="E44" s="269"/>
      <c r="L44" s="306">
        <v>1.75</v>
      </c>
      <c r="M44" s="307">
        <v>5</v>
      </c>
      <c r="N44" s="308" t="str">
        <f t="shared" si="3"/>
        <v/>
      </c>
      <c r="O44" s="309"/>
      <c r="S44" s="250" t="str">
        <f>IF(AND(OR($B$3="H",$B$3="HM"),$B$4=6,OR($B$6=4,$B$6=3.5)),$V44+$W44*$B$8,"")</f>
        <v/>
      </c>
      <c r="T44" s="288"/>
      <c r="U44" s="288">
        <v>4</v>
      </c>
      <c r="V44" s="290">
        <v>140</v>
      </c>
      <c r="W44" s="291">
        <v>7.3</v>
      </c>
      <c r="X44" s="291"/>
      <c r="Y44" s="288"/>
      <c r="Z44" s="288">
        <v>2.5</v>
      </c>
      <c r="AA44" s="290">
        <v>74</v>
      </c>
      <c r="AB44" s="291">
        <v>3.8</v>
      </c>
      <c r="AC44" s="291"/>
      <c r="AD44" s="250" t="str">
        <f>IF(AND(OR($B$3="LH",$B$3="A"),$B$4=6,OR($B$6=2,$B$6=2.5)),$AA44+$AB44*$B$8,"")</f>
        <v/>
      </c>
      <c r="AE44" s="250" t="str">
        <f>IF(AND($B$3="VA",$B$4=22),$AG44+$AH44*$B$8,"")</f>
        <v/>
      </c>
      <c r="AF44" s="299">
        <v>22</v>
      </c>
      <c r="AG44" s="294">
        <v>944.5</v>
      </c>
      <c r="AH44" s="295">
        <v>5</v>
      </c>
    </row>
    <row r="45" spans="1:34">
      <c r="A45" s="251"/>
      <c r="B45" s="251"/>
      <c r="C45" s="260" t="str">
        <f t="shared" si="1"/>
        <v/>
      </c>
      <c r="D45" s="265" t="str">
        <f t="shared" si="2"/>
        <v/>
      </c>
      <c r="E45" s="269"/>
      <c r="L45" s="306">
        <v>2</v>
      </c>
      <c r="M45" s="307">
        <v>6</v>
      </c>
      <c r="N45" s="308" t="str">
        <f t="shared" si="3"/>
        <v/>
      </c>
      <c r="O45" s="309"/>
      <c r="S45" s="250" t="str">
        <f>IF(AND(OR($B$3="H",$B$3="HM"),$B$4=7,OR($B$6=3.5,$B$6=3)),$V45+$W45*$B$8,"")</f>
        <v/>
      </c>
      <c r="T45" s="288">
        <v>7</v>
      </c>
      <c r="U45" s="288">
        <v>3</v>
      </c>
      <c r="V45" s="290">
        <v>242</v>
      </c>
      <c r="W45" s="291">
        <v>6.7</v>
      </c>
      <c r="X45" s="291"/>
      <c r="Y45" s="288">
        <v>7</v>
      </c>
      <c r="Z45" s="289">
        <v>1.375</v>
      </c>
      <c r="AA45" s="290">
        <v>85</v>
      </c>
      <c r="AB45" s="291">
        <v>3</v>
      </c>
      <c r="AC45" s="291"/>
      <c r="AD45" s="250" t="str">
        <f>IF(AND(OR($B$3="LH",$B$3="A"),$B$4=7,OR($B$6=1.375,$B$6=1.75)),$AA45+$AB45*$B$8,"")</f>
        <v/>
      </c>
      <c r="AE45" s="250" t="str">
        <f>IF(AND($B$3="VA",$B$4=24),$AG45+$AH45*$B$8,"")</f>
        <v/>
      </c>
      <c r="AF45" s="250">
        <v>24</v>
      </c>
      <c r="AG45" s="250">
        <v>1378.6</v>
      </c>
      <c r="AH45" s="250">
        <v>5.7</v>
      </c>
    </row>
    <row r="46" spans="1:34">
      <c r="A46" s="251"/>
      <c r="B46" s="251"/>
      <c r="C46" s="260" t="str">
        <f t="shared" si="1"/>
        <v/>
      </c>
      <c r="D46" s="265" t="str">
        <f t="shared" si="2"/>
        <v/>
      </c>
      <c r="E46" s="269"/>
      <c r="L46" s="306">
        <v>2.5</v>
      </c>
      <c r="M46" s="307">
        <v>8</v>
      </c>
      <c r="N46" s="308" t="str">
        <f t="shared" si="3"/>
        <v/>
      </c>
      <c r="O46" s="309"/>
      <c r="S46" s="250" t="str">
        <f>IF(AND(OR($B$3="H",$B$3="HM"),$B$4=7,OR($B$6=4,$B$6=5,$B$6=4.5)),$V46+$W46*$B$8,"")</f>
        <v/>
      </c>
      <c r="T46" s="288"/>
      <c r="U46" s="288">
        <v>5</v>
      </c>
      <c r="V46" s="290">
        <v>253</v>
      </c>
      <c r="W46" s="291">
        <v>10.3</v>
      </c>
      <c r="X46" s="291"/>
      <c r="Y46" s="288"/>
      <c r="Z46" s="288">
        <v>2.5</v>
      </c>
      <c r="AA46" s="290">
        <v>90</v>
      </c>
      <c r="AB46" s="291">
        <v>4</v>
      </c>
      <c r="AC46" s="291"/>
      <c r="AD46" s="250" t="str">
        <f>IF(AND(OR($B$3="LH",$B$3="A"),$B$4=7,OR($B$6=2,$B$6=2.5,$B$6=3)),$AA46+$AB46*$B$8,"")</f>
        <v/>
      </c>
    </row>
    <row r="47" spans="1:34">
      <c r="A47" s="251"/>
      <c r="B47" s="251"/>
      <c r="C47" s="260" t="str">
        <f t="shared" si="1"/>
        <v/>
      </c>
      <c r="D47" s="265" t="str">
        <f t="shared" si="2"/>
        <v/>
      </c>
      <c r="E47" s="269"/>
      <c r="L47" s="306">
        <v>3</v>
      </c>
      <c r="M47" s="307">
        <v>11</v>
      </c>
      <c r="N47" s="308" t="str">
        <f t="shared" si="3"/>
        <v/>
      </c>
      <c r="O47" s="309"/>
      <c r="S47" s="250" t="str">
        <f>IF(AND(OR($B$3="H",$B$3="HM"),$B$4=8,OR($B$6=3.5,$B$6=4)),$V47+$W47*$B$8,"")</f>
        <v/>
      </c>
      <c r="T47" s="288">
        <v>8</v>
      </c>
      <c r="U47" s="288">
        <v>3.5</v>
      </c>
      <c r="V47" s="290">
        <v>276</v>
      </c>
      <c r="W47" s="291">
        <v>9</v>
      </c>
      <c r="X47" s="291"/>
      <c r="Y47" s="288">
        <v>8</v>
      </c>
      <c r="Z47" s="289">
        <v>1.375</v>
      </c>
      <c r="AA47" s="290">
        <v>100</v>
      </c>
      <c r="AB47" s="291">
        <v>4</v>
      </c>
      <c r="AC47" s="291"/>
      <c r="AD47" s="250" t="str">
        <f>IF(AND(OR($B$3="LH",$B$3="A"),$B$4=8,OR($B$6=1.375,$B$6=1.75)),$AA47+$AB47*$B$8,"")</f>
        <v/>
      </c>
    </row>
    <row r="48" spans="1:34">
      <c r="A48" s="251"/>
      <c r="B48" s="251"/>
      <c r="C48" s="260" t="str">
        <f t="shared" si="1"/>
        <v/>
      </c>
      <c r="D48" s="265" t="str">
        <f t="shared" si="2"/>
        <v/>
      </c>
      <c r="E48" s="269"/>
      <c r="L48" s="306">
        <v>3.5</v>
      </c>
      <c r="M48" s="307">
        <v>16</v>
      </c>
      <c r="N48" s="308" t="str">
        <f t="shared" si="3"/>
        <v/>
      </c>
      <c r="O48" s="309"/>
      <c r="S48" s="250" t="str">
        <f>IF(AND(OR($B$3="H",$B$3="HM"),$B$4=8,OR($B$6=4.5,$B$6=5,$B$6=5.5)),$V48+$W48*$B$8,"")</f>
        <v/>
      </c>
      <c r="T48" s="288"/>
      <c r="U48" s="288">
        <v>5.5</v>
      </c>
      <c r="V48" s="290">
        <v>309</v>
      </c>
      <c r="W48" s="291">
        <v>13</v>
      </c>
      <c r="X48" s="291"/>
      <c r="Y48" s="288"/>
      <c r="Z48" s="288">
        <v>2.5</v>
      </c>
      <c r="AA48" s="290">
        <v>115</v>
      </c>
      <c r="AB48" s="291">
        <v>5.4</v>
      </c>
      <c r="AC48" s="291"/>
      <c r="AD48" s="250" t="str">
        <f>IF(AND(OR($B$3="LH",$B$3="A"),$B$4=8,OR($B$6=2.5,$B$6=2,$B$6=3)),$AA48+$AB48*$B$8,"")</f>
        <v/>
      </c>
    </row>
    <row r="49" spans="1:24">
      <c r="A49" s="251"/>
      <c r="B49" s="251"/>
      <c r="C49" s="260" t="str">
        <f t="shared" si="1"/>
        <v/>
      </c>
      <c r="D49" s="265" t="str">
        <f t="shared" si="2"/>
        <v/>
      </c>
      <c r="E49" s="269"/>
      <c r="I49" s="311"/>
      <c r="L49" s="306">
        <v>4</v>
      </c>
      <c r="M49" s="307">
        <v>21</v>
      </c>
      <c r="N49" s="308" t="str">
        <f t="shared" si="3"/>
        <v/>
      </c>
      <c r="O49" s="309"/>
      <c r="S49" s="250">
        <f>SUM(S31:S48)+SUM(AD31:AD48)+SUM(AE31:AE45)+X56</f>
        <v>122.8</v>
      </c>
      <c r="T49" s="250">
        <v>10</v>
      </c>
      <c r="U49" s="250">
        <v>4.5</v>
      </c>
      <c r="V49" s="250">
        <v>650</v>
      </c>
      <c r="W49" s="250">
        <v>15</v>
      </c>
      <c r="X49" s="250" t="str">
        <f>IF(AND(OR($B$3="H",$B$3="HM"),$B$4=10,$B$6=4.5),$V49+$W49*$B$8,"")</f>
        <v/>
      </c>
    </row>
    <row r="50" spans="1:24">
      <c r="A50" s="251"/>
      <c r="B50" s="251"/>
      <c r="C50" s="260" t="str">
        <f t="shared" si="1"/>
        <v/>
      </c>
      <c r="D50" s="265" t="str">
        <f t="shared" si="2"/>
        <v/>
      </c>
      <c r="E50" s="269"/>
      <c r="I50" s="311"/>
      <c r="L50" s="306">
        <v>4.5</v>
      </c>
      <c r="M50" s="307">
        <v>30</v>
      </c>
      <c r="N50" s="308" t="str">
        <f t="shared" si="3"/>
        <v/>
      </c>
      <c r="O50" s="309"/>
      <c r="U50" s="250">
        <v>5.5</v>
      </c>
      <c r="V50" s="250">
        <v>660</v>
      </c>
      <c r="W50" s="250">
        <v>17</v>
      </c>
      <c r="X50" s="250" t="str">
        <f>IF(AND(OR($B$3="H",$B$3="HM"),$B$4=10,$B$6=5.5),$V50+$W50*$B$8,"")</f>
        <v/>
      </c>
    </row>
    <row r="51" spans="1:24">
      <c r="A51" s="251"/>
      <c r="B51" s="251"/>
      <c r="C51" s="260" t="str">
        <f t="shared" si="1"/>
        <v/>
      </c>
      <c r="D51" s="265" t="str">
        <f t="shared" si="2"/>
        <v/>
      </c>
      <c r="E51" s="269"/>
      <c r="I51" s="311"/>
      <c r="U51" s="250">
        <v>7</v>
      </c>
      <c r="V51" s="250">
        <v>704</v>
      </c>
      <c r="W51" s="250">
        <v>21</v>
      </c>
      <c r="X51" s="250" t="str">
        <f>IF(AND(OR($B$3="H",$B$3="HM"),$B$4=10,$B$6=7),$V51+$W51*$B$8,"")</f>
        <v/>
      </c>
    </row>
    <row r="52" spans="1:24">
      <c r="A52" s="251"/>
      <c r="B52" s="251"/>
      <c r="C52" s="260" t="str">
        <f t="shared" si="1"/>
        <v/>
      </c>
      <c r="D52" s="265" t="str">
        <f t="shared" si="2"/>
        <v/>
      </c>
      <c r="E52" s="269"/>
      <c r="I52" s="311"/>
      <c r="T52" s="250">
        <v>12</v>
      </c>
      <c r="U52" s="250">
        <v>5.5</v>
      </c>
      <c r="V52" s="250">
        <v>1060</v>
      </c>
      <c r="W52" s="250">
        <v>22</v>
      </c>
      <c r="X52" s="250" t="str">
        <f>IF(AND(OR($B$3="H",$B$3="HM"),$B$4=12,$B$6=5.5),$V52+$W52*$B$8,"")</f>
        <v/>
      </c>
    </row>
    <row r="53" spans="1:24">
      <c r="A53" s="251" t="s">
        <v>172</v>
      </c>
      <c r="B53" s="251"/>
      <c r="C53" s="260" t="str">
        <f t="shared" si="1"/>
        <v/>
      </c>
      <c r="D53" s="265" t="str">
        <f t="shared" si="2"/>
        <v/>
      </c>
      <c r="E53" s="269"/>
      <c r="I53" s="311"/>
      <c r="U53" s="250">
        <v>8</v>
      </c>
      <c r="V53" s="250">
        <v>1155</v>
      </c>
      <c r="W53" s="250">
        <v>29</v>
      </c>
      <c r="X53" s="250" t="str">
        <f>IF(AND(OR($B$3="H",$B$3="HM"),$B$4=12,$B$6=8),$V53+$W53*$B$8,"")</f>
        <v/>
      </c>
    </row>
    <row r="54" spans="1:24">
      <c r="A54" s="251" t="s">
        <v>175</v>
      </c>
      <c r="B54" s="251"/>
      <c r="C54" s="260" t="str">
        <f t="shared" si="1"/>
        <v/>
      </c>
      <c r="D54" s="265" t="str">
        <f t="shared" si="2"/>
        <v/>
      </c>
      <c r="I54" s="311"/>
      <c r="T54" s="250">
        <v>14</v>
      </c>
      <c r="U54" s="250">
        <v>7</v>
      </c>
      <c r="V54" s="250">
        <v>1525</v>
      </c>
      <c r="W54" s="250">
        <v>28</v>
      </c>
      <c r="X54" s="250" t="str">
        <f>IF(AND(OR($B$3="H",$B$3="HM"),$B$4=14,$B$6=7),$V54+$W54*$B$8,"")</f>
        <v/>
      </c>
    </row>
    <row r="55" spans="1:24">
      <c r="A55" s="251" t="s">
        <v>178</v>
      </c>
      <c r="B55" s="251"/>
      <c r="C55" s="260" t="str">
        <f t="shared" si="1"/>
        <v/>
      </c>
      <c r="D55" s="265" t="str">
        <f t="shared" si="2"/>
        <v/>
      </c>
      <c r="I55" s="311"/>
      <c r="U55" s="250">
        <v>10</v>
      </c>
      <c r="V55" s="250">
        <v>1685</v>
      </c>
      <c r="W55" s="250">
        <v>39</v>
      </c>
      <c r="X55" s="250" t="str">
        <f>IF(AND(OR($B$3="H",$B$3="HM"),$B$4=14,$B$6=10),$V55+$W55*$B$8,"")</f>
        <v/>
      </c>
    </row>
    <row r="56" spans="1:24">
      <c r="A56" s="251" t="s">
        <v>181</v>
      </c>
      <c r="B56" s="251"/>
      <c r="C56" s="260" t="str">
        <f t="shared" si="1"/>
        <v/>
      </c>
      <c r="D56" s="265" t="str">
        <f t="shared" si="2"/>
        <v/>
      </c>
      <c r="I56" s="311"/>
      <c r="X56" s="250">
        <f>SUM(X49:X55)</f>
        <v>0</v>
      </c>
    </row>
    <row r="57" spans="1:24">
      <c r="A57" s="251" t="s">
        <v>184</v>
      </c>
      <c r="B57" s="251"/>
      <c r="C57" s="260" t="str">
        <f t="shared" si="1"/>
        <v/>
      </c>
      <c r="D57" s="265" t="str">
        <f t="shared" si="2"/>
        <v/>
      </c>
      <c r="I57" s="311"/>
      <c r="L57" s="312" t="s">
        <v>247</v>
      </c>
      <c r="M57" s="313" t="s">
        <v>248</v>
      </c>
      <c r="N57" s="302">
        <v>100</v>
      </c>
    </row>
    <row r="58" spans="1:24">
      <c r="A58" s="251" t="s">
        <v>188</v>
      </c>
      <c r="B58" s="251"/>
      <c r="C58" s="260" t="str">
        <f t="shared" si="1"/>
        <v/>
      </c>
      <c r="D58" s="265" t="str">
        <f t="shared" si="2"/>
        <v/>
      </c>
      <c r="H58" s="314"/>
      <c r="I58" s="315"/>
      <c r="J58" s="316"/>
      <c r="L58" s="309"/>
      <c r="N58" s="317"/>
    </row>
    <row r="59" spans="1:24">
      <c r="A59" s="251" t="s">
        <v>191</v>
      </c>
      <c r="B59" s="251"/>
      <c r="C59" s="260" t="str">
        <f t="shared" si="1"/>
        <v/>
      </c>
      <c r="D59" s="265" t="str">
        <f t="shared" si="2"/>
        <v/>
      </c>
      <c r="I59" s="311"/>
      <c r="L59" s="318">
        <v>0.312</v>
      </c>
      <c r="M59" s="319"/>
      <c r="N59" s="320"/>
      <c r="O59" s="264"/>
      <c r="P59" s="264"/>
    </row>
    <row r="60" spans="1:24" ht="13.5">
      <c r="A60" s="251" t="s">
        <v>195</v>
      </c>
      <c r="B60" s="251"/>
      <c r="C60" s="260" t="str">
        <f t="shared" si="1"/>
        <v/>
      </c>
      <c r="D60" s="265" t="str">
        <f t="shared" si="2"/>
        <v/>
      </c>
      <c r="I60" s="311"/>
      <c r="L60" s="321">
        <v>0.25</v>
      </c>
      <c r="M60" s="322">
        <v>7</v>
      </c>
      <c r="N60" s="317" t="str">
        <f>IF(L$59=L60,M$59*M60+N$57,"")</f>
        <v/>
      </c>
    </row>
    <row r="61" spans="1:24" ht="13.5">
      <c r="A61" s="251" t="s">
        <v>199</v>
      </c>
      <c r="B61" s="251"/>
      <c r="C61" s="260" t="str">
        <f t="shared" si="1"/>
        <v/>
      </c>
      <c r="D61" s="265" t="str">
        <f t="shared" si="2"/>
        <v/>
      </c>
      <c r="I61" s="311"/>
      <c r="L61" s="321">
        <v>0.312</v>
      </c>
      <c r="M61" s="322">
        <v>7.5</v>
      </c>
      <c r="N61" s="317">
        <f t="shared" ref="N61:N69" si="4">IF(L$59=L61,M$59*M61+N$57,"")</f>
        <v>100</v>
      </c>
    </row>
    <row r="62" spans="1:24" ht="13.5">
      <c r="A62" s="251" t="s">
        <v>203</v>
      </c>
      <c r="B62" s="251"/>
      <c r="C62" s="260" t="str">
        <f t="shared" si="1"/>
        <v/>
      </c>
      <c r="D62" s="265" t="str">
        <f t="shared" si="2"/>
        <v/>
      </c>
      <c r="I62" s="311"/>
      <c r="L62" s="321">
        <v>0.375</v>
      </c>
      <c r="M62" s="322">
        <v>8</v>
      </c>
      <c r="N62" s="317" t="str">
        <f t="shared" si="4"/>
        <v/>
      </c>
    </row>
    <row r="63" spans="1:24" ht="13.5">
      <c r="A63" s="251" t="s">
        <v>206</v>
      </c>
      <c r="B63" s="251"/>
      <c r="C63" s="260" t="str">
        <f t="shared" si="1"/>
        <v/>
      </c>
      <c r="D63" s="265" t="str">
        <f t="shared" si="2"/>
        <v/>
      </c>
      <c r="I63" s="311"/>
      <c r="L63" s="321">
        <v>0.5</v>
      </c>
      <c r="M63" s="322">
        <v>8.5</v>
      </c>
      <c r="N63" s="317" t="str">
        <f t="shared" si="4"/>
        <v/>
      </c>
      <c r="R63" s="250" t="s">
        <v>249</v>
      </c>
      <c r="S63" s="250" t="s">
        <v>243</v>
      </c>
      <c r="T63" s="250" t="s">
        <v>250</v>
      </c>
      <c r="U63" s="250" t="s">
        <v>251</v>
      </c>
      <c r="V63" s="250" t="s">
        <v>248</v>
      </c>
      <c r="W63" s="250" t="s">
        <v>252</v>
      </c>
    </row>
    <row r="64" spans="1:24" ht="13.5">
      <c r="A64" s="251" t="s">
        <v>210</v>
      </c>
      <c r="B64" s="251"/>
      <c r="C64" s="260" t="str">
        <f t="shared" si="1"/>
        <v/>
      </c>
      <c r="D64" s="265" t="str">
        <f t="shared" si="2"/>
        <v/>
      </c>
      <c r="I64" s="311"/>
      <c r="L64" s="321">
        <v>0.625</v>
      </c>
      <c r="M64" s="322">
        <v>9</v>
      </c>
      <c r="N64" s="317" t="str">
        <f t="shared" si="4"/>
        <v/>
      </c>
      <c r="R64" s="250" t="s">
        <v>253</v>
      </c>
      <c r="S64" s="250">
        <v>0.25</v>
      </c>
      <c r="T64" s="250">
        <v>3.4</v>
      </c>
      <c r="U64" s="250">
        <v>10</v>
      </c>
      <c r="V64" s="250" t="str">
        <f t="shared" ref="V64:V69" si="5">IF(S64=V$85,T64+U64+30,"")</f>
        <v/>
      </c>
      <c r="W64" s="250" t="str">
        <f t="shared" ref="W64:W69" si="6">IF(V64="","",T64)</f>
        <v/>
      </c>
    </row>
    <row r="65" spans="1:23" ht="13.5">
      <c r="A65" s="251" t="s">
        <v>213</v>
      </c>
      <c r="B65" s="251"/>
      <c r="C65" s="260" t="str">
        <f t="shared" si="1"/>
        <v/>
      </c>
      <c r="D65" s="265" t="str">
        <f t="shared" si="2"/>
        <v/>
      </c>
      <c r="I65" s="311"/>
      <c r="L65" s="321">
        <v>0.75</v>
      </c>
      <c r="M65" s="322">
        <v>12</v>
      </c>
      <c r="N65" s="317" t="str">
        <f t="shared" si="4"/>
        <v/>
      </c>
      <c r="R65" s="250" t="s">
        <v>254</v>
      </c>
      <c r="S65" s="250">
        <v>0.375</v>
      </c>
      <c r="T65" s="250">
        <v>4</v>
      </c>
      <c r="U65" s="250">
        <v>12</v>
      </c>
      <c r="V65" s="250" t="str">
        <f t="shared" si="5"/>
        <v/>
      </c>
      <c r="W65" s="250" t="str">
        <f t="shared" si="6"/>
        <v/>
      </c>
    </row>
    <row r="66" spans="1:23" ht="13.5">
      <c r="A66" s="251"/>
      <c r="B66" s="251"/>
      <c r="C66" s="260" t="str">
        <f t="shared" si="1"/>
        <v/>
      </c>
      <c r="D66" s="265" t="str">
        <f t="shared" si="2"/>
        <v/>
      </c>
      <c r="I66" s="311"/>
      <c r="L66" s="321">
        <v>0.875</v>
      </c>
      <c r="M66" s="322">
        <v>14</v>
      </c>
      <c r="N66" s="317" t="str">
        <f t="shared" si="4"/>
        <v/>
      </c>
      <c r="R66" s="250" t="s">
        <v>255</v>
      </c>
      <c r="S66" s="250">
        <v>0.5</v>
      </c>
      <c r="T66" s="250">
        <v>4.5</v>
      </c>
      <c r="U66" s="250">
        <v>15</v>
      </c>
      <c r="V66" s="250" t="str">
        <f t="shared" si="5"/>
        <v/>
      </c>
      <c r="W66" s="250" t="str">
        <f t="shared" si="6"/>
        <v/>
      </c>
    </row>
    <row r="67" spans="1:23" ht="13.5">
      <c r="A67" s="251"/>
      <c r="B67" s="251"/>
      <c r="C67" s="260" t="str">
        <f t="shared" si="1"/>
        <v/>
      </c>
      <c r="D67" s="265" t="str">
        <f t="shared" si="2"/>
        <v/>
      </c>
      <c r="I67" s="311"/>
      <c r="L67" s="321">
        <v>1</v>
      </c>
      <c r="M67" s="322">
        <v>18</v>
      </c>
      <c r="N67" s="317" t="str">
        <f t="shared" si="4"/>
        <v/>
      </c>
      <c r="R67" s="250" t="s">
        <v>256</v>
      </c>
      <c r="S67" s="250">
        <v>0.625</v>
      </c>
      <c r="T67" s="250">
        <v>5.9</v>
      </c>
      <c r="U67" s="250">
        <v>20</v>
      </c>
      <c r="V67" s="250" t="str">
        <f t="shared" si="5"/>
        <v/>
      </c>
      <c r="W67" s="250" t="str">
        <f t="shared" si="6"/>
        <v/>
      </c>
    </row>
    <row r="68" spans="1:23" ht="13.5">
      <c r="A68" s="251"/>
      <c r="B68" s="251"/>
      <c r="C68" s="260" t="str">
        <f t="shared" si="1"/>
        <v/>
      </c>
      <c r="D68" s="265" t="str">
        <f t="shared" si="2"/>
        <v/>
      </c>
      <c r="I68" s="311"/>
      <c r="L68" s="321">
        <v>1.125</v>
      </c>
      <c r="M68" s="322">
        <v>23</v>
      </c>
      <c r="N68" s="317" t="str">
        <f t="shared" si="4"/>
        <v/>
      </c>
      <c r="R68" s="250" t="s">
        <v>257</v>
      </c>
      <c r="S68" s="250">
        <v>0.75</v>
      </c>
      <c r="T68" s="250">
        <v>7.3</v>
      </c>
      <c r="U68" s="250">
        <v>25</v>
      </c>
      <c r="V68" s="250" t="str">
        <f t="shared" si="5"/>
        <v/>
      </c>
      <c r="W68" s="250" t="str">
        <f t="shared" si="6"/>
        <v/>
      </c>
    </row>
    <row r="69" spans="1:23" ht="13.5">
      <c r="A69" s="251"/>
      <c r="B69" s="251"/>
      <c r="C69" s="260" t="str">
        <f t="shared" si="1"/>
        <v/>
      </c>
      <c r="D69" s="265" t="str">
        <f t="shared" si="2"/>
        <v/>
      </c>
      <c r="I69" s="311"/>
      <c r="L69" s="323">
        <v>1.25</v>
      </c>
      <c r="M69" s="324">
        <v>25</v>
      </c>
      <c r="N69" s="317" t="str">
        <f t="shared" si="4"/>
        <v/>
      </c>
      <c r="R69" s="250" t="s">
        <v>258</v>
      </c>
      <c r="S69" s="250">
        <v>1</v>
      </c>
      <c r="T69" s="250">
        <v>9.5</v>
      </c>
      <c r="U69" s="250">
        <v>35</v>
      </c>
      <c r="V69" s="250" t="str">
        <f t="shared" si="5"/>
        <v/>
      </c>
      <c r="W69" s="250" t="str">
        <f t="shared" si="6"/>
        <v/>
      </c>
    </row>
    <row r="70" spans="1:23">
      <c r="A70" s="325"/>
      <c r="B70" s="251"/>
      <c r="C70" s="260" t="str">
        <f t="shared" si="1"/>
        <v/>
      </c>
      <c r="D70" s="265" t="str">
        <f t="shared" si="2"/>
        <v/>
      </c>
      <c r="I70" s="311"/>
      <c r="N70" s="326">
        <f>SUM(N60:N69)</f>
        <v>100</v>
      </c>
      <c r="V70" s="250">
        <f>SUM(V64:V69)</f>
        <v>0</v>
      </c>
      <c r="W70" s="250">
        <f>SUM(W64:W69)</f>
        <v>0</v>
      </c>
    </row>
    <row r="71" spans="1:23">
      <c r="A71" s="251"/>
      <c r="B71" s="251"/>
      <c r="C71" s="260" t="str">
        <f t="shared" si="1"/>
        <v/>
      </c>
      <c r="D71" s="265" t="str">
        <f t="shared" si="2"/>
        <v/>
      </c>
      <c r="I71" s="311"/>
    </row>
    <row r="72" spans="1:23">
      <c r="A72" s="251"/>
      <c r="B72" s="251"/>
      <c r="C72" s="260" t="str">
        <f t="shared" si="1"/>
        <v/>
      </c>
      <c r="D72" s="265" t="str">
        <f t="shared" si="2"/>
        <v/>
      </c>
      <c r="I72" s="311"/>
    </row>
    <row r="73" spans="1:23">
      <c r="A73" s="251"/>
      <c r="B73" s="251"/>
      <c r="C73" s="260" t="str">
        <f t="shared" si="1"/>
        <v/>
      </c>
      <c r="D73" s="265" t="str">
        <f t="shared" si="2"/>
        <v/>
      </c>
      <c r="I73" s="311"/>
    </row>
    <row r="74" spans="1:23">
      <c r="A74" s="251"/>
      <c r="B74" s="251"/>
      <c r="C74" s="260" t="str">
        <f t="shared" si="1"/>
        <v/>
      </c>
      <c r="D74" s="251" t="str">
        <f>IF(B74="","",B74)</f>
        <v/>
      </c>
      <c r="I74" s="311"/>
      <c r="S74" s="250" t="s">
        <v>16</v>
      </c>
      <c r="T74" s="250" t="s">
        <v>132</v>
      </c>
      <c r="U74" s="250" t="s">
        <v>6</v>
      </c>
    </row>
    <row r="75" spans="1:23">
      <c r="A75" s="251"/>
      <c r="B75" s="251"/>
      <c r="C75" s="327"/>
      <c r="D75" s="251"/>
      <c r="I75" s="311"/>
      <c r="S75" s="250">
        <v>1.5</v>
      </c>
      <c r="T75" s="250">
        <v>0.375</v>
      </c>
      <c r="U75" s="250">
        <v>0.625</v>
      </c>
      <c r="V75" s="250" t="str">
        <f>IF(OR(B$3="A",B$3="LH"),IF(B$4=S75,T75,""),"")</f>
        <v/>
      </c>
      <c r="W75" s="250" t="str">
        <f>IF(OR(B$3="H",B$3="MH"),IF(B$4=S75,U75,""),"")</f>
        <v/>
      </c>
    </row>
    <row r="76" spans="1:23">
      <c r="A76" s="251"/>
      <c r="B76" s="251"/>
      <c r="C76" s="327"/>
      <c r="D76" s="251"/>
      <c r="I76" s="311"/>
      <c r="S76" s="250">
        <v>2</v>
      </c>
      <c r="T76" s="250">
        <v>0.375</v>
      </c>
      <c r="U76" s="250">
        <v>0.625</v>
      </c>
      <c r="V76" s="250" t="str">
        <f t="shared" ref="V76:V84" si="7">IF(OR(B$3="A",B$3="LH"),IF(B$4=S76,T76,""),"")</f>
        <v/>
      </c>
      <c r="W76" s="250" t="str">
        <f t="shared" ref="W76:W84" si="8">IF(OR(B$3="H",B$3="MH"),IF(B$4=S76,U76,""),"")</f>
        <v/>
      </c>
    </row>
    <row r="77" spans="1:23">
      <c r="A77" s="251"/>
      <c r="B77" s="251"/>
      <c r="C77" s="327"/>
      <c r="D77" s="251"/>
      <c r="I77" s="311"/>
      <c r="S77" s="250">
        <v>2.5</v>
      </c>
      <c r="T77" s="250">
        <v>0.375</v>
      </c>
      <c r="U77" s="250">
        <v>0.625</v>
      </c>
      <c r="V77" s="250" t="str">
        <f t="shared" si="7"/>
        <v/>
      </c>
      <c r="W77" s="250" t="str">
        <f t="shared" si="8"/>
        <v/>
      </c>
    </row>
    <row r="78" spans="1:23">
      <c r="A78" s="251"/>
      <c r="B78" s="251"/>
      <c r="C78" s="327"/>
      <c r="D78" s="251"/>
      <c r="I78" s="311"/>
      <c r="S78" s="250">
        <v>3.25</v>
      </c>
      <c r="T78" s="250">
        <v>0.5</v>
      </c>
      <c r="U78" s="250">
        <v>0.75</v>
      </c>
      <c r="V78" s="250" t="str">
        <f t="shared" si="7"/>
        <v/>
      </c>
      <c r="W78" s="250" t="str">
        <f t="shared" si="8"/>
        <v/>
      </c>
    </row>
    <row r="79" spans="1:23">
      <c r="A79" s="251"/>
      <c r="B79" s="251"/>
      <c r="C79" s="327"/>
      <c r="D79" s="251"/>
      <c r="I79" s="311"/>
      <c r="S79" s="250">
        <v>4</v>
      </c>
      <c r="T79" s="250">
        <v>0.5</v>
      </c>
      <c r="U79" s="250">
        <v>0.75</v>
      </c>
      <c r="V79" s="250" t="str">
        <f t="shared" si="7"/>
        <v/>
      </c>
      <c r="W79" s="250" t="str">
        <f t="shared" si="8"/>
        <v/>
      </c>
    </row>
    <row r="80" spans="1:23">
      <c r="A80" s="251"/>
      <c r="B80" s="251"/>
      <c r="C80" s="327"/>
      <c r="D80" s="251"/>
      <c r="I80" s="311"/>
      <c r="S80" s="250">
        <v>5</v>
      </c>
      <c r="T80" s="250">
        <v>0.5</v>
      </c>
      <c r="U80" s="250">
        <v>0.75</v>
      </c>
      <c r="V80" s="250" t="str">
        <f t="shared" si="7"/>
        <v/>
      </c>
      <c r="W80" s="250">
        <f t="shared" si="8"/>
        <v>0.75</v>
      </c>
    </row>
    <row r="81" spans="1:23">
      <c r="A81" s="251"/>
      <c r="B81" s="251"/>
      <c r="C81" s="327"/>
      <c r="D81" s="251"/>
      <c r="I81" s="311"/>
      <c r="S81" s="250">
        <v>6</v>
      </c>
      <c r="T81" s="250">
        <v>0.75</v>
      </c>
      <c r="U81" s="250">
        <v>1</v>
      </c>
      <c r="V81" s="250" t="str">
        <f t="shared" si="7"/>
        <v/>
      </c>
      <c r="W81" s="250" t="str">
        <f t="shared" si="8"/>
        <v/>
      </c>
    </row>
    <row r="82" spans="1:23">
      <c r="A82" s="251"/>
      <c r="B82" s="251"/>
      <c r="C82" s="327"/>
      <c r="D82" s="251"/>
      <c r="I82" s="311"/>
      <c r="S82" s="250">
        <v>8</v>
      </c>
      <c r="T82" s="250">
        <v>0.75</v>
      </c>
      <c r="V82" s="250" t="str">
        <f t="shared" si="7"/>
        <v/>
      </c>
      <c r="W82" s="250" t="str">
        <f t="shared" si="8"/>
        <v/>
      </c>
    </row>
    <row r="83" spans="1:23">
      <c r="A83" s="251"/>
      <c r="B83" s="251"/>
      <c r="C83" s="327"/>
      <c r="D83" s="251"/>
      <c r="I83" s="311"/>
      <c r="S83" s="250">
        <v>10</v>
      </c>
      <c r="T83" s="250">
        <v>1</v>
      </c>
      <c r="V83" s="250" t="str">
        <f t="shared" si="7"/>
        <v/>
      </c>
      <c r="W83" s="250" t="str">
        <f t="shared" si="8"/>
        <v/>
      </c>
    </row>
    <row r="84" spans="1:23">
      <c r="A84" s="251"/>
      <c r="B84" s="251"/>
      <c r="C84" s="327"/>
      <c r="D84" s="251"/>
      <c r="I84" s="311"/>
      <c r="S84" s="250">
        <v>12</v>
      </c>
      <c r="T84" s="250">
        <v>1</v>
      </c>
      <c r="V84" s="250" t="str">
        <f t="shared" si="7"/>
        <v/>
      </c>
      <c r="W84" s="250" t="str">
        <f t="shared" si="8"/>
        <v/>
      </c>
    </row>
    <row r="85" spans="1:23">
      <c r="A85" s="251"/>
      <c r="B85" s="251"/>
      <c r="C85" s="327"/>
      <c r="D85" s="251"/>
      <c r="I85" s="311"/>
      <c r="V85" s="250">
        <f>SUM(V75:V84)</f>
        <v>0</v>
      </c>
      <c r="W85" s="250">
        <f>SUM(W75:W84)</f>
        <v>0.75</v>
      </c>
    </row>
    <row r="86" spans="1:23">
      <c r="A86" s="251"/>
      <c r="B86" s="251"/>
      <c r="C86" s="327"/>
      <c r="D86" s="251"/>
      <c r="I86" s="311"/>
    </row>
    <row r="87" spans="1:23">
      <c r="A87" s="251"/>
      <c r="B87" s="251"/>
      <c r="C87" s="327"/>
      <c r="D87" s="251"/>
      <c r="I87" s="311"/>
    </row>
    <row r="88" spans="1:23">
      <c r="A88" s="251"/>
      <c r="B88" s="251"/>
      <c r="C88" s="327"/>
      <c r="D88" s="251"/>
      <c r="I88" s="311"/>
    </row>
    <row r="89" spans="1:23">
      <c r="A89" s="251"/>
      <c r="B89" s="251"/>
      <c r="C89" s="327"/>
      <c r="D89" s="251"/>
      <c r="I89" s="311"/>
    </row>
    <row r="90" spans="1:23">
      <c r="A90" s="251"/>
      <c r="B90" s="251"/>
      <c r="C90" s="327"/>
      <c r="D90" s="251"/>
      <c r="I90" s="311"/>
    </row>
    <row r="91" spans="1:23">
      <c r="A91" s="251"/>
      <c r="B91" s="251"/>
      <c r="C91" s="327"/>
      <c r="D91" s="251"/>
      <c r="I91" s="311"/>
    </row>
    <row r="92" spans="1:23">
      <c r="A92" s="251"/>
      <c r="B92" s="251"/>
      <c r="C92" s="327"/>
      <c r="D92" s="251"/>
      <c r="I92" s="311"/>
    </row>
    <row r="93" spans="1:23">
      <c r="A93" s="251"/>
      <c r="B93" s="251"/>
      <c r="C93" s="327"/>
      <c r="D93" s="251"/>
      <c r="I93" s="311"/>
    </row>
    <row r="94" spans="1:23">
      <c r="A94" s="251"/>
      <c r="B94" s="251"/>
      <c r="C94" s="327"/>
      <c r="D94" s="251"/>
      <c r="I94" s="311"/>
    </row>
    <row r="95" spans="1:23">
      <c r="A95" s="251"/>
      <c r="B95" s="251"/>
      <c r="C95" s="327"/>
      <c r="D95" s="251"/>
      <c r="I95" s="311"/>
    </row>
    <row r="96" spans="1:23">
      <c r="A96" s="251"/>
      <c r="B96" s="251"/>
      <c r="C96" s="327"/>
      <c r="D96" s="251"/>
      <c r="I96" s="311"/>
    </row>
    <row r="97" spans="1:9">
      <c r="A97" s="251"/>
      <c r="B97" s="251"/>
      <c r="C97" s="327"/>
      <c r="D97" s="251"/>
      <c r="I97" s="311"/>
    </row>
    <row r="98" spans="1:9">
      <c r="A98" s="251"/>
      <c r="B98" s="251"/>
      <c r="C98" s="327"/>
      <c r="D98" s="251"/>
      <c r="I98" s="311"/>
    </row>
    <row r="99" spans="1:9">
      <c r="A99" s="251"/>
      <c r="B99" s="251"/>
      <c r="C99" s="327"/>
      <c r="D99" s="251"/>
      <c r="I99" s="311"/>
    </row>
    <row r="100" spans="1:9">
      <c r="A100" s="251"/>
      <c r="B100" s="251"/>
      <c r="C100" s="327"/>
      <c r="D100" s="251"/>
      <c r="I100" s="311"/>
    </row>
    <row r="101" spans="1:9">
      <c r="A101" s="251"/>
      <c r="B101" s="251"/>
      <c r="C101" s="327"/>
      <c r="D101" s="251"/>
      <c r="I101" s="311"/>
    </row>
    <row r="102" spans="1:9">
      <c r="A102" s="251"/>
      <c r="B102" s="251"/>
      <c r="C102" s="327"/>
      <c r="D102" s="251"/>
      <c r="I102" s="311"/>
    </row>
    <row r="103" spans="1:9">
      <c r="A103" s="251"/>
      <c r="B103" s="251"/>
      <c r="C103" s="327"/>
      <c r="D103" s="251"/>
      <c r="I103" s="311"/>
    </row>
    <row r="104" spans="1:9">
      <c r="A104" s="251"/>
      <c r="B104" s="251"/>
      <c r="C104" s="327"/>
      <c r="D104" s="251"/>
      <c r="I104" s="311"/>
    </row>
    <row r="105" spans="1:9">
      <c r="A105" s="251"/>
      <c r="B105" s="251"/>
      <c r="C105" s="327"/>
      <c r="D105" s="251"/>
      <c r="I105" s="311"/>
    </row>
    <row r="106" spans="1:9">
      <c r="A106" s="251"/>
      <c r="B106" s="251"/>
      <c r="C106" s="327"/>
      <c r="D106" s="251"/>
      <c r="I106" s="311"/>
    </row>
    <row r="107" spans="1:9">
      <c r="A107" s="251"/>
      <c r="B107" s="251"/>
      <c r="C107" s="327"/>
      <c r="D107" s="251"/>
      <c r="I107" s="311"/>
    </row>
    <row r="108" spans="1:9">
      <c r="A108" s="251"/>
      <c r="B108" s="251"/>
      <c r="C108" s="327"/>
      <c r="D108" s="251"/>
      <c r="I108" s="311"/>
    </row>
    <row r="109" spans="1:9">
      <c r="A109" s="251"/>
      <c r="B109" s="251"/>
      <c r="C109" s="327"/>
      <c r="D109" s="251"/>
      <c r="I109" s="311"/>
    </row>
    <row r="110" spans="1:9">
      <c r="A110" s="251"/>
      <c r="B110" s="251"/>
      <c r="C110" s="327"/>
      <c r="D110" s="251"/>
      <c r="I110" s="311"/>
    </row>
    <row r="111" spans="1:9">
      <c r="A111" s="251"/>
      <c r="B111" s="251"/>
      <c r="C111" s="327"/>
      <c r="D111" s="251"/>
      <c r="I111" s="311"/>
    </row>
    <row r="112" spans="1:9">
      <c r="A112" s="251"/>
      <c r="B112" s="251"/>
      <c r="C112" s="327"/>
      <c r="D112" s="251"/>
      <c r="I112" s="311"/>
    </row>
    <row r="113" spans="1:9">
      <c r="A113" s="251"/>
      <c r="B113" s="251"/>
      <c r="C113" s="327"/>
      <c r="D113" s="251"/>
      <c r="I113" s="311"/>
    </row>
    <row r="114" spans="1:9">
      <c r="A114" s="251"/>
      <c r="B114" s="251"/>
      <c r="C114" s="327"/>
      <c r="D114" s="251"/>
      <c r="I114" s="311"/>
    </row>
    <row r="115" spans="1:9">
      <c r="A115" s="251"/>
      <c r="B115" s="251"/>
      <c r="C115" s="327"/>
      <c r="D115" s="251"/>
      <c r="I115" s="311"/>
    </row>
    <row r="116" spans="1:9">
      <c r="A116" s="251"/>
      <c r="B116" s="251"/>
      <c r="C116" s="327"/>
      <c r="D116" s="251"/>
      <c r="I116" s="311"/>
    </row>
    <row r="117" spans="1:9">
      <c r="A117" s="251"/>
      <c r="B117" s="251"/>
      <c r="C117" s="327"/>
      <c r="D117" s="251"/>
      <c r="I117" s="311"/>
    </row>
    <row r="118" spans="1:9">
      <c r="A118" s="251"/>
      <c r="B118" s="251"/>
      <c r="C118" s="327"/>
      <c r="D118" s="251"/>
      <c r="I118" s="311"/>
    </row>
    <row r="119" spans="1:9">
      <c r="A119" s="251"/>
      <c r="B119" s="251"/>
      <c r="C119" s="327"/>
      <c r="D119" s="251"/>
      <c r="I119" s="311"/>
    </row>
    <row r="120" spans="1:9">
      <c r="A120" s="251"/>
      <c r="B120" s="251"/>
      <c r="C120" s="327"/>
      <c r="D120" s="251"/>
      <c r="I120" s="311"/>
    </row>
    <row r="121" spans="1:9">
      <c r="A121" s="251"/>
      <c r="B121" s="251"/>
      <c r="C121" s="327"/>
      <c r="D121" s="251"/>
      <c r="I121" s="311"/>
    </row>
    <row r="122" spans="1:9">
      <c r="A122" s="251"/>
      <c r="B122" s="251"/>
      <c r="C122" s="327"/>
      <c r="D122" s="251"/>
      <c r="I122" s="311"/>
    </row>
    <row r="123" spans="1:9">
      <c r="A123" s="251"/>
      <c r="B123" s="251"/>
      <c r="C123" s="327"/>
      <c r="D123" s="251"/>
      <c r="I123" s="311"/>
    </row>
    <row r="124" spans="1:9">
      <c r="A124" s="251"/>
      <c r="B124" s="251"/>
      <c r="C124" s="327"/>
      <c r="D124" s="251"/>
      <c r="I124" s="311"/>
    </row>
    <row r="125" spans="1:9">
      <c r="A125" s="251"/>
      <c r="B125" s="251"/>
      <c r="C125" s="327"/>
      <c r="D125" s="251"/>
      <c r="I125" s="311"/>
    </row>
    <row r="126" spans="1:9">
      <c r="A126" s="251"/>
      <c r="B126" s="251"/>
      <c r="C126" s="327"/>
      <c r="D126" s="251"/>
      <c r="I126" s="311"/>
    </row>
    <row r="127" spans="1:9">
      <c r="A127" s="251"/>
      <c r="B127" s="251"/>
      <c r="C127" s="327"/>
      <c r="D127" s="251"/>
      <c r="I127" s="311"/>
    </row>
    <row r="128" spans="1:9">
      <c r="A128" s="251"/>
      <c r="B128" s="251"/>
      <c r="C128" s="327"/>
      <c r="D128" s="251"/>
      <c r="I128" s="311"/>
    </row>
    <row r="129" spans="1:9">
      <c r="A129" s="251"/>
      <c r="B129" s="251"/>
      <c r="C129" s="327"/>
      <c r="D129" s="251"/>
      <c r="I129" s="311"/>
    </row>
    <row r="130" spans="1:9">
      <c r="A130" s="251"/>
      <c r="B130" s="251"/>
      <c r="C130" s="327"/>
      <c r="D130" s="251"/>
      <c r="I130" s="311"/>
    </row>
    <row r="131" spans="1:9">
      <c r="A131" s="251"/>
      <c r="B131" s="251"/>
      <c r="C131" s="327"/>
      <c r="D131" s="251"/>
      <c r="I131" s="311"/>
    </row>
    <row r="132" spans="1:9">
      <c r="A132" s="251"/>
      <c r="B132" s="251"/>
      <c r="C132" s="327"/>
      <c r="D132" s="251"/>
      <c r="I132" s="311"/>
    </row>
    <row r="133" spans="1:9">
      <c r="A133" s="251"/>
      <c r="B133" s="251"/>
      <c r="C133" s="327"/>
      <c r="D133" s="251"/>
      <c r="I133" s="311"/>
    </row>
    <row r="134" spans="1:9">
      <c r="A134" s="251"/>
      <c r="B134" s="251"/>
      <c r="C134" s="327"/>
      <c r="D134" s="251"/>
      <c r="I134" s="311"/>
    </row>
    <row r="135" spans="1:9">
      <c r="A135" s="251"/>
      <c r="B135" s="251"/>
      <c r="C135" s="327"/>
      <c r="D135" s="251"/>
      <c r="I135" s="311"/>
    </row>
    <row r="136" spans="1:9">
      <c r="A136" s="251"/>
      <c r="B136" s="251"/>
      <c r="C136" s="327"/>
      <c r="D136" s="251"/>
      <c r="I136" s="311"/>
    </row>
    <row r="137" spans="1:9">
      <c r="A137" s="251"/>
      <c r="B137" s="251"/>
      <c r="C137" s="327"/>
      <c r="D137" s="251"/>
      <c r="I137" s="311"/>
    </row>
    <row r="138" spans="1:9">
      <c r="A138" s="251"/>
      <c r="B138" s="251"/>
      <c r="C138" s="327"/>
      <c r="D138" s="251"/>
      <c r="I138" s="311"/>
    </row>
    <row r="139" spans="1:9">
      <c r="A139" s="251"/>
      <c r="B139" s="251"/>
      <c r="C139" s="327"/>
      <c r="D139" s="251"/>
      <c r="I139" s="311"/>
    </row>
    <row r="140" spans="1:9">
      <c r="A140" s="251"/>
      <c r="B140" s="251"/>
      <c r="C140" s="327"/>
      <c r="D140" s="251"/>
      <c r="I140" s="311"/>
    </row>
    <row r="141" spans="1:9">
      <c r="A141" s="251"/>
      <c r="B141" s="251"/>
      <c r="C141" s="327"/>
      <c r="D141" s="251"/>
      <c r="I141" s="311"/>
    </row>
    <row r="142" spans="1:9">
      <c r="A142" s="251"/>
      <c r="B142" s="251"/>
      <c r="C142" s="327"/>
      <c r="D142" s="251"/>
      <c r="I142" s="311"/>
    </row>
    <row r="143" spans="1:9">
      <c r="A143" s="251"/>
      <c r="B143" s="251"/>
      <c r="C143" s="327"/>
      <c r="D143" s="251"/>
      <c r="I143" s="311"/>
    </row>
    <row r="144" spans="1:9">
      <c r="A144" s="251"/>
      <c r="B144" s="251"/>
      <c r="C144" s="327"/>
      <c r="D144" s="251"/>
      <c r="I144" s="311"/>
    </row>
    <row r="145" spans="1:9">
      <c r="A145" s="251"/>
      <c r="B145" s="251"/>
      <c r="C145" s="327"/>
      <c r="D145" s="251"/>
      <c r="I145" s="311"/>
    </row>
    <row r="146" spans="1:9">
      <c r="A146" s="251"/>
      <c r="B146" s="251"/>
      <c r="C146" s="327"/>
      <c r="D146" s="251"/>
      <c r="I146" s="311"/>
    </row>
    <row r="147" spans="1:9">
      <c r="A147" s="251"/>
      <c r="B147" s="251"/>
      <c r="C147" s="327"/>
      <c r="D147" s="251"/>
      <c r="I147" s="311"/>
    </row>
    <row r="148" spans="1:9">
      <c r="A148" s="251"/>
      <c r="B148" s="251"/>
      <c r="C148" s="327"/>
      <c r="D148" s="251"/>
      <c r="I148" s="311"/>
    </row>
    <row r="149" spans="1:9">
      <c r="A149" s="251"/>
      <c r="B149" s="251"/>
      <c r="C149" s="327"/>
      <c r="D149" s="251"/>
      <c r="I149" s="311"/>
    </row>
    <row r="150" spans="1:9">
      <c r="A150" s="251"/>
      <c r="B150" s="251"/>
      <c r="C150" s="327"/>
      <c r="D150" s="251"/>
      <c r="I150" s="311"/>
    </row>
    <row r="151" spans="1:9">
      <c r="A151" s="251"/>
      <c r="B151" s="251"/>
      <c r="C151" s="327"/>
      <c r="D151" s="251"/>
      <c r="I151" s="311"/>
    </row>
    <row r="152" spans="1:9">
      <c r="A152" s="251"/>
      <c r="B152" s="251"/>
      <c r="C152" s="327"/>
      <c r="D152" s="251"/>
      <c r="I152" s="311"/>
    </row>
    <row r="153" spans="1:9">
      <c r="A153" s="251"/>
      <c r="B153" s="251"/>
      <c r="C153" s="327"/>
      <c r="D153" s="251"/>
      <c r="I153" s="311"/>
    </row>
    <row r="154" spans="1:9">
      <c r="A154" s="251"/>
      <c r="B154" s="251"/>
      <c r="C154" s="327"/>
      <c r="D154" s="251"/>
      <c r="I154" s="311"/>
    </row>
    <row r="155" spans="1:9">
      <c r="A155" s="251"/>
      <c r="B155" s="251"/>
      <c r="C155" s="327"/>
      <c r="D155" s="251"/>
      <c r="I155" s="311"/>
    </row>
    <row r="156" spans="1:9">
      <c r="A156" s="251"/>
      <c r="B156" s="251"/>
      <c r="C156" s="327"/>
      <c r="D156" s="251"/>
      <c r="I156" s="311"/>
    </row>
    <row r="157" spans="1:9">
      <c r="A157" s="251"/>
      <c r="B157" s="251"/>
      <c r="C157" s="327"/>
      <c r="D157" s="251"/>
      <c r="I157" s="311"/>
    </row>
    <row r="158" spans="1:9">
      <c r="A158" s="251"/>
      <c r="B158" s="251"/>
      <c r="C158" s="327"/>
      <c r="D158" s="251"/>
      <c r="I158" s="311"/>
    </row>
    <row r="159" spans="1:9">
      <c r="A159" s="251"/>
      <c r="B159" s="251"/>
      <c r="C159" s="327"/>
      <c r="D159" s="251"/>
      <c r="I159" s="311"/>
    </row>
    <row r="160" spans="1:9">
      <c r="A160" s="251"/>
      <c r="B160" s="251"/>
      <c r="C160" s="327"/>
      <c r="D160" s="251"/>
      <c r="I160" s="311"/>
    </row>
    <row r="161" spans="1:9">
      <c r="A161" s="251"/>
      <c r="B161" s="251"/>
      <c r="C161" s="327"/>
      <c r="D161" s="251"/>
      <c r="I161" s="311"/>
    </row>
    <row r="162" spans="1:9">
      <c r="A162" s="251"/>
      <c r="B162" s="251"/>
      <c r="C162" s="327"/>
      <c r="D162" s="251"/>
      <c r="I162" s="311"/>
    </row>
    <row r="163" spans="1:9">
      <c r="A163" s="251"/>
      <c r="B163" s="251"/>
      <c r="C163" s="327"/>
      <c r="D163" s="251"/>
      <c r="I163" s="311"/>
    </row>
    <row r="164" spans="1:9">
      <c r="A164" s="251"/>
      <c r="B164" s="251"/>
      <c r="C164" s="327"/>
      <c r="D164" s="251"/>
      <c r="I164" s="311"/>
    </row>
    <row r="165" spans="1:9">
      <c r="A165" s="251"/>
      <c r="B165" s="251"/>
      <c r="C165" s="327"/>
      <c r="D165" s="251"/>
      <c r="I165" s="311"/>
    </row>
    <row r="166" spans="1:9">
      <c r="A166" s="251"/>
      <c r="B166" s="251"/>
      <c r="C166" s="327"/>
      <c r="D166" s="251"/>
      <c r="I166" s="311"/>
    </row>
    <row r="167" spans="1:9">
      <c r="A167" s="251"/>
      <c r="B167" s="251"/>
      <c r="C167" s="327"/>
      <c r="D167" s="251"/>
      <c r="I167" s="311"/>
    </row>
    <row r="168" spans="1:9">
      <c r="A168" s="251"/>
      <c r="B168" s="251"/>
      <c r="C168" s="327"/>
      <c r="D168" s="251"/>
      <c r="I168" s="311"/>
    </row>
    <row r="169" spans="1:9">
      <c r="A169" s="251"/>
      <c r="B169" s="251"/>
      <c r="C169" s="327"/>
      <c r="D169" s="251"/>
      <c r="I169" s="311"/>
    </row>
    <row r="170" spans="1:9">
      <c r="A170" s="251"/>
      <c r="B170" s="251"/>
      <c r="C170" s="327"/>
      <c r="D170" s="251"/>
      <c r="I170" s="311"/>
    </row>
    <row r="171" spans="1:9">
      <c r="A171" s="251"/>
      <c r="B171" s="251"/>
      <c r="C171" s="327"/>
      <c r="D171" s="251"/>
      <c r="I171" s="311"/>
    </row>
    <row r="172" spans="1:9">
      <c r="A172" s="251"/>
      <c r="B172" s="251"/>
      <c r="C172" s="327"/>
      <c r="D172" s="251"/>
      <c r="I172" s="311"/>
    </row>
    <row r="173" spans="1:9">
      <c r="A173" s="251"/>
      <c r="B173" s="251"/>
      <c r="C173" s="327"/>
      <c r="D173" s="251"/>
      <c r="I173" s="311"/>
    </row>
    <row r="174" spans="1:9">
      <c r="A174" s="251"/>
      <c r="B174" s="251"/>
      <c r="C174" s="327"/>
      <c r="D174" s="251"/>
      <c r="I174" s="311"/>
    </row>
    <row r="175" spans="1:9">
      <c r="A175" s="251"/>
      <c r="B175" s="251"/>
      <c r="C175" s="327"/>
      <c r="D175" s="251"/>
      <c r="I175" s="311"/>
    </row>
    <row r="176" spans="1:9">
      <c r="A176" s="251"/>
      <c r="B176" s="251"/>
      <c r="C176" s="327"/>
      <c r="D176" s="251"/>
      <c r="I176" s="311"/>
    </row>
    <row r="177" spans="1:9">
      <c r="A177" s="251"/>
      <c r="B177" s="251"/>
      <c r="C177" s="327"/>
      <c r="D177" s="251"/>
      <c r="I177" s="311"/>
    </row>
    <row r="178" spans="1:9">
      <c r="A178" s="251"/>
      <c r="B178" s="251"/>
      <c r="C178" s="327"/>
      <c r="D178" s="251"/>
      <c r="I178" s="311"/>
    </row>
    <row r="179" spans="1:9">
      <c r="A179" s="251"/>
      <c r="B179" s="251"/>
      <c r="C179" s="327"/>
      <c r="D179" s="251"/>
      <c r="I179" s="311"/>
    </row>
    <row r="180" spans="1:9">
      <c r="A180" s="251"/>
      <c r="B180" s="251"/>
      <c r="C180" s="327"/>
      <c r="D180" s="251"/>
      <c r="I180" s="311"/>
    </row>
    <row r="181" spans="1:9">
      <c r="A181" s="251"/>
      <c r="B181" s="251"/>
      <c r="C181" s="327"/>
      <c r="D181" s="251"/>
      <c r="I181" s="311"/>
    </row>
    <row r="182" spans="1:9">
      <c r="A182" s="251"/>
      <c r="B182" s="251"/>
      <c r="C182" s="327"/>
      <c r="D182" s="251"/>
      <c r="I182" s="311"/>
    </row>
    <row r="183" spans="1:9">
      <c r="A183" s="251"/>
      <c r="B183" s="251"/>
      <c r="C183" s="327"/>
      <c r="D183" s="251"/>
      <c r="I183" s="311"/>
    </row>
    <row r="184" spans="1:9">
      <c r="A184" s="251"/>
      <c r="B184" s="251"/>
      <c r="C184" s="327"/>
      <c r="D184" s="251"/>
      <c r="I184" s="311"/>
    </row>
    <row r="185" spans="1:9">
      <c r="A185" s="251"/>
      <c r="B185" s="251"/>
      <c r="C185" s="327"/>
      <c r="D185" s="251"/>
      <c r="I185" s="311"/>
    </row>
    <row r="186" spans="1:9">
      <c r="A186" s="251"/>
      <c r="B186" s="251"/>
      <c r="C186" s="327"/>
      <c r="D186" s="251"/>
      <c r="I186" s="311"/>
    </row>
    <row r="187" spans="1:9">
      <c r="A187" s="251"/>
      <c r="B187" s="251"/>
      <c r="C187" s="327"/>
      <c r="D187" s="251"/>
      <c r="I187" s="311"/>
    </row>
    <row r="188" spans="1:9">
      <c r="A188" s="251"/>
      <c r="B188" s="251"/>
      <c r="C188" s="327"/>
      <c r="D188" s="251"/>
      <c r="I188" s="311"/>
    </row>
    <row r="189" spans="1:9">
      <c r="A189" s="251"/>
      <c r="B189" s="251"/>
      <c r="C189" s="327"/>
      <c r="D189" s="251"/>
      <c r="I189" s="311"/>
    </row>
    <row r="190" spans="1:9">
      <c r="A190" s="251"/>
      <c r="B190" s="251"/>
      <c r="C190" s="327"/>
      <c r="D190" s="251"/>
      <c r="I190" s="311"/>
    </row>
    <row r="191" spans="1:9">
      <c r="A191" s="251"/>
      <c r="B191" s="251"/>
      <c r="C191" s="327"/>
      <c r="D191" s="251"/>
      <c r="I191" s="311"/>
    </row>
    <row r="192" spans="1:9">
      <c r="A192" s="251"/>
      <c r="B192" s="251"/>
      <c r="C192" s="327"/>
      <c r="D192" s="251"/>
      <c r="I192" s="311"/>
    </row>
    <row r="193" spans="1:9">
      <c r="A193" s="251"/>
      <c r="B193" s="251"/>
      <c r="C193" s="327"/>
      <c r="D193" s="251"/>
      <c r="I193" s="311"/>
    </row>
    <row r="194" spans="1:9">
      <c r="A194" s="251"/>
      <c r="B194" s="251"/>
      <c r="C194" s="327"/>
      <c r="D194" s="251"/>
      <c r="I194" s="311"/>
    </row>
    <row r="195" spans="1:9">
      <c r="A195" s="251"/>
      <c r="B195" s="251"/>
      <c r="C195" s="327"/>
      <c r="D195" s="251"/>
      <c r="I195" s="311"/>
    </row>
    <row r="196" spans="1:9">
      <c r="A196" s="251"/>
      <c r="B196" s="251"/>
      <c r="C196" s="327"/>
      <c r="D196" s="251"/>
      <c r="I196" s="311"/>
    </row>
    <row r="197" spans="1:9">
      <c r="A197" s="251"/>
      <c r="B197" s="251"/>
      <c r="C197" s="327"/>
      <c r="D197" s="251"/>
      <c r="I197" s="311"/>
    </row>
    <row r="198" spans="1:9">
      <c r="A198" s="251"/>
      <c r="B198" s="251"/>
      <c r="C198" s="327"/>
      <c r="D198" s="251"/>
      <c r="I198" s="311"/>
    </row>
    <row r="199" spans="1:9">
      <c r="A199" s="251"/>
      <c r="B199" s="251"/>
      <c r="C199" s="327"/>
      <c r="D199" s="251"/>
      <c r="I199" s="311"/>
    </row>
    <row r="200" spans="1:9">
      <c r="A200" s="251"/>
      <c r="B200" s="251"/>
      <c r="C200" s="327"/>
      <c r="D200" s="251"/>
      <c r="I200" s="311"/>
    </row>
    <row r="201" spans="1:9">
      <c r="A201" s="251"/>
      <c r="B201" s="251"/>
      <c r="C201" s="327"/>
      <c r="D201" s="251"/>
      <c r="I201" s="311"/>
    </row>
    <row r="202" spans="1:9">
      <c r="A202" s="251"/>
      <c r="B202" s="251"/>
      <c r="C202" s="327"/>
      <c r="D202" s="251"/>
      <c r="I202" s="311"/>
    </row>
    <row r="203" spans="1:9">
      <c r="A203" s="251"/>
      <c r="B203" s="251"/>
      <c r="C203" s="327"/>
      <c r="D203" s="251"/>
      <c r="I203" s="311"/>
    </row>
    <row r="204" spans="1:9">
      <c r="A204" s="251"/>
      <c r="B204" s="251"/>
      <c r="C204" s="327"/>
      <c r="D204" s="251"/>
      <c r="I204" s="311"/>
    </row>
    <row r="205" spans="1:9">
      <c r="A205" s="251"/>
      <c r="B205" s="251"/>
      <c r="C205" s="327"/>
      <c r="D205" s="251"/>
      <c r="I205" s="311"/>
    </row>
    <row r="206" spans="1:9">
      <c r="A206" s="251"/>
      <c r="B206" s="251"/>
      <c r="C206" s="327"/>
      <c r="D206" s="251"/>
      <c r="I206" s="311"/>
    </row>
    <row r="207" spans="1:9">
      <c r="A207" s="251"/>
      <c r="B207" s="251"/>
      <c r="C207" s="327"/>
      <c r="D207" s="251"/>
      <c r="I207" s="311"/>
    </row>
    <row r="208" spans="1:9">
      <c r="A208" s="251"/>
      <c r="B208" s="251"/>
      <c r="C208" s="327"/>
      <c r="D208" s="251"/>
      <c r="I208" s="311"/>
    </row>
    <row r="209" spans="1:9">
      <c r="A209" s="251"/>
      <c r="B209" s="251"/>
      <c r="C209" s="327"/>
      <c r="D209" s="251"/>
      <c r="I209" s="311"/>
    </row>
    <row r="210" spans="1:9">
      <c r="A210" s="251"/>
      <c r="B210" s="251"/>
      <c r="C210" s="327"/>
      <c r="D210" s="251"/>
      <c r="I210" s="311"/>
    </row>
    <row r="211" spans="1:9">
      <c r="A211" s="251"/>
      <c r="B211" s="251"/>
      <c r="C211" s="327"/>
      <c r="D211" s="251"/>
      <c r="I211" s="311"/>
    </row>
    <row r="212" spans="1:9">
      <c r="A212" s="251"/>
      <c r="B212" s="251"/>
      <c r="C212" s="327"/>
      <c r="D212" s="251"/>
      <c r="I212" s="311"/>
    </row>
    <row r="213" spans="1:9">
      <c r="A213" s="251"/>
      <c r="B213" s="251"/>
      <c r="C213" s="327"/>
      <c r="D213" s="251"/>
      <c r="I213" s="311"/>
    </row>
    <row r="214" spans="1:9">
      <c r="A214" s="251"/>
      <c r="B214" s="251"/>
      <c r="C214" s="327"/>
      <c r="D214" s="251"/>
      <c r="I214" s="311"/>
    </row>
    <row r="215" spans="1:9">
      <c r="A215" s="251"/>
      <c r="B215" s="251"/>
      <c r="C215" s="327"/>
      <c r="D215" s="251"/>
      <c r="I215" s="311"/>
    </row>
    <row r="216" spans="1:9">
      <c r="A216" s="251"/>
      <c r="B216" s="251"/>
      <c r="C216" s="327"/>
      <c r="D216" s="251"/>
      <c r="I216" s="311"/>
    </row>
    <row r="217" spans="1:9">
      <c r="A217" s="251"/>
      <c r="B217" s="251"/>
      <c r="C217" s="327"/>
      <c r="D217" s="251"/>
      <c r="I217" s="311"/>
    </row>
    <row r="218" spans="1:9">
      <c r="A218" s="251"/>
      <c r="B218" s="251"/>
      <c r="C218" s="327"/>
      <c r="D218" s="251"/>
      <c r="I218" s="311"/>
    </row>
    <row r="219" spans="1:9">
      <c r="A219" s="251"/>
      <c r="B219" s="251"/>
      <c r="C219" s="327"/>
      <c r="D219" s="251"/>
      <c r="I219" s="311"/>
    </row>
    <row r="220" spans="1:9">
      <c r="A220" s="251"/>
      <c r="B220" s="251"/>
      <c r="C220" s="327"/>
      <c r="D220" s="251"/>
      <c r="I220" s="311"/>
    </row>
    <row r="221" spans="1:9">
      <c r="A221" s="251"/>
      <c r="B221" s="251"/>
      <c r="C221" s="327"/>
      <c r="D221" s="251"/>
      <c r="I221" s="311"/>
    </row>
    <row r="222" spans="1:9">
      <c r="A222" s="251"/>
      <c r="B222" s="251"/>
      <c r="C222" s="327"/>
      <c r="D222" s="251"/>
      <c r="I222" s="311"/>
    </row>
    <row r="223" spans="1:9">
      <c r="A223" s="251"/>
      <c r="B223" s="251"/>
      <c r="C223" s="327"/>
      <c r="D223" s="251"/>
      <c r="I223" s="311"/>
    </row>
    <row r="224" spans="1:9">
      <c r="A224" s="251"/>
      <c r="B224" s="251"/>
      <c r="C224" s="327"/>
      <c r="D224" s="251"/>
      <c r="I224" s="311"/>
    </row>
    <row r="225" spans="1:9">
      <c r="A225" s="251"/>
      <c r="B225" s="251"/>
      <c r="C225" s="327"/>
      <c r="D225" s="251"/>
      <c r="I225" s="311"/>
    </row>
    <row r="226" spans="1:9">
      <c r="A226" s="251"/>
      <c r="B226" s="251"/>
      <c r="C226" s="327"/>
      <c r="D226" s="251"/>
      <c r="I226" s="311"/>
    </row>
    <row r="227" spans="1:9">
      <c r="A227" s="251"/>
      <c r="B227" s="251"/>
      <c r="C227" s="327"/>
      <c r="D227" s="251"/>
      <c r="I227" s="311"/>
    </row>
    <row r="228" spans="1:9">
      <c r="A228" s="251"/>
      <c r="B228" s="251"/>
      <c r="C228" s="327"/>
      <c r="D228" s="251"/>
      <c r="I228" s="311"/>
    </row>
    <row r="229" spans="1:9">
      <c r="A229" s="251"/>
      <c r="B229" s="251"/>
      <c r="C229" s="327"/>
      <c r="D229" s="251"/>
      <c r="I229" s="311"/>
    </row>
    <row r="230" spans="1:9">
      <c r="A230" s="251"/>
      <c r="B230" s="251"/>
      <c r="C230" s="327"/>
      <c r="D230" s="251"/>
      <c r="I230" s="311"/>
    </row>
    <row r="231" spans="1:9">
      <c r="A231" s="251"/>
      <c r="B231" s="251"/>
      <c r="C231" s="327"/>
      <c r="D231" s="251"/>
      <c r="I231" s="311"/>
    </row>
    <row r="232" spans="1:9">
      <c r="A232" s="251"/>
      <c r="B232" s="251"/>
      <c r="C232" s="327"/>
      <c r="D232" s="251"/>
      <c r="I232" s="311"/>
    </row>
    <row r="233" spans="1:9">
      <c r="A233" s="251"/>
      <c r="B233" s="251"/>
      <c r="C233" s="327"/>
      <c r="D233" s="251"/>
      <c r="I233" s="311"/>
    </row>
    <row r="234" spans="1:9">
      <c r="A234" s="251"/>
      <c r="B234" s="251"/>
      <c r="C234" s="327"/>
      <c r="D234" s="251"/>
      <c r="I234" s="311"/>
    </row>
    <row r="235" spans="1:9">
      <c r="A235" s="251"/>
      <c r="B235" s="251"/>
      <c r="C235" s="327"/>
      <c r="D235" s="251"/>
      <c r="I235" s="311"/>
    </row>
    <row r="236" spans="1:9">
      <c r="A236" s="251"/>
      <c r="B236" s="251"/>
      <c r="C236" s="327"/>
      <c r="D236" s="251"/>
      <c r="I236" s="311"/>
    </row>
    <row r="237" spans="1:9">
      <c r="A237" s="251"/>
      <c r="B237" s="251"/>
      <c r="C237" s="251"/>
      <c r="D237" s="251"/>
      <c r="I237" s="311"/>
    </row>
    <row r="238" spans="1:9">
      <c r="A238" s="251"/>
      <c r="B238" s="251"/>
      <c r="C238" s="251"/>
      <c r="D238" s="251"/>
      <c r="I238" s="311"/>
    </row>
    <row r="239" spans="1:9">
      <c r="A239" s="251"/>
      <c r="B239" s="251"/>
      <c r="C239" s="251"/>
      <c r="D239" s="251"/>
      <c r="I239" s="311"/>
    </row>
    <row r="240" spans="1:9">
      <c r="A240" s="251"/>
      <c r="B240" s="251"/>
      <c r="C240" s="251"/>
      <c r="D240" s="251"/>
      <c r="I240" s="311"/>
    </row>
    <row r="241" spans="1:9">
      <c r="A241" s="251"/>
      <c r="B241" s="251"/>
      <c r="C241" s="251"/>
      <c r="D241" s="251"/>
      <c r="I241" s="311"/>
    </row>
    <row r="242" spans="1:9">
      <c r="A242" s="251"/>
      <c r="B242" s="251"/>
      <c r="C242" s="251"/>
      <c r="D242" s="251"/>
      <c r="I242" s="311"/>
    </row>
    <row r="243" spans="1:9">
      <c r="A243" s="251"/>
      <c r="B243" s="251"/>
      <c r="C243" s="251"/>
      <c r="D243" s="251"/>
      <c r="I243" s="311"/>
    </row>
    <row r="244" spans="1:9">
      <c r="A244" s="251"/>
      <c r="B244" s="251"/>
      <c r="C244" s="251"/>
      <c r="D244" s="251"/>
      <c r="I244" s="311"/>
    </row>
    <row r="245" spans="1:9">
      <c r="A245" s="251"/>
      <c r="B245" s="251"/>
      <c r="C245" s="251"/>
      <c r="D245" s="251"/>
      <c r="I245" s="311"/>
    </row>
    <row r="246" spans="1:9">
      <c r="A246" s="251"/>
      <c r="B246" s="251"/>
      <c r="C246" s="251"/>
      <c r="D246" s="251"/>
      <c r="I246" s="311"/>
    </row>
    <row r="247" spans="1:9">
      <c r="A247" s="251"/>
      <c r="B247" s="251"/>
      <c r="C247" s="251"/>
      <c r="D247" s="251"/>
      <c r="I247" s="311"/>
    </row>
    <row r="248" spans="1:9">
      <c r="A248" s="251"/>
      <c r="B248" s="251"/>
      <c r="C248" s="251"/>
      <c r="D248" s="251"/>
      <c r="I248" s="311"/>
    </row>
    <row r="249" spans="1:9">
      <c r="A249" s="251"/>
      <c r="B249" s="251"/>
      <c r="C249" s="251"/>
      <c r="D249" s="251"/>
      <c r="I249" s="311"/>
    </row>
    <row r="250" spans="1:9">
      <c r="A250" s="251"/>
      <c r="B250" s="251"/>
      <c r="C250" s="251"/>
      <c r="D250" s="251"/>
      <c r="I250" s="311"/>
    </row>
    <row r="251" spans="1:9">
      <c r="A251" s="251"/>
      <c r="B251" s="251"/>
      <c r="C251" s="251"/>
      <c r="D251" s="251"/>
      <c r="I251" s="311"/>
    </row>
    <row r="252" spans="1:9">
      <c r="A252" s="251"/>
      <c r="B252" s="251"/>
      <c r="C252" s="251"/>
      <c r="D252" s="251"/>
      <c r="I252" s="311"/>
    </row>
    <row r="253" spans="1:9">
      <c r="A253" s="251"/>
      <c r="B253" s="251"/>
      <c r="C253" s="251"/>
      <c r="D253" s="251"/>
      <c r="I253" s="311"/>
    </row>
    <row r="254" spans="1:9">
      <c r="A254" s="251"/>
      <c r="B254" s="251"/>
      <c r="C254" s="251"/>
      <c r="D254" s="251"/>
      <c r="I254" s="311"/>
    </row>
    <row r="255" spans="1:9">
      <c r="A255" s="251"/>
      <c r="B255" s="251"/>
      <c r="C255" s="251"/>
      <c r="D255" s="251"/>
      <c r="I255" s="311"/>
    </row>
    <row r="256" spans="1:9">
      <c r="A256" s="251"/>
      <c r="B256" s="251"/>
      <c r="C256" s="251"/>
      <c r="D256" s="251"/>
      <c r="I256" s="311"/>
    </row>
    <row r="257" spans="1:9">
      <c r="A257" s="251"/>
      <c r="B257" s="251"/>
      <c r="C257" s="251"/>
      <c r="D257" s="251"/>
      <c r="I257" s="311"/>
    </row>
    <row r="258" spans="1:9">
      <c r="A258" s="251"/>
      <c r="B258" s="251"/>
      <c r="C258" s="251"/>
      <c r="D258" s="251"/>
      <c r="I258" s="311"/>
    </row>
    <row r="259" spans="1:9">
      <c r="A259" s="251"/>
      <c r="B259" s="251"/>
      <c r="C259" s="251"/>
      <c r="D259" s="251"/>
      <c r="I259" s="311"/>
    </row>
    <row r="260" spans="1:9">
      <c r="A260" s="251"/>
      <c r="B260" s="251"/>
      <c r="C260" s="251"/>
      <c r="D260" s="251"/>
      <c r="I260" s="311"/>
    </row>
    <row r="261" spans="1:9">
      <c r="A261" s="251"/>
      <c r="B261" s="251"/>
      <c r="C261" s="251"/>
      <c r="D261" s="251"/>
      <c r="I261" s="311"/>
    </row>
    <row r="262" spans="1:9">
      <c r="A262" s="251"/>
      <c r="B262" s="251"/>
      <c r="C262" s="251"/>
      <c r="D262" s="251"/>
      <c r="I262" s="311"/>
    </row>
    <row r="263" spans="1:9">
      <c r="A263" s="251"/>
      <c r="B263" s="251"/>
      <c r="C263" s="251"/>
      <c r="D263" s="251"/>
      <c r="I263" s="311"/>
    </row>
    <row r="264" spans="1:9">
      <c r="A264" s="251"/>
      <c r="B264" s="251"/>
      <c r="C264" s="251"/>
      <c r="D264" s="251"/>
      <c r="I264" s="311"/>
    </row>
    <row r="265" spans="1:9">
      <c r="A265" s="251"/>
      <c r="B265" s="251"/>
      <c r="C265" s="251"/>
      <c r="D265" s="251"/>
      <c r="I265" s="311"/>
    </row>
    <row r="266" spans="1:9">
      <c r="A266" s="251"/>
      <c r="B266" s="251"/>
      <c r="C266" s="251"/>
      <c r="D266" s="251"/>
      <c r="I266" s="311"/>
    </row>
    <row r="267" spans="1:9">
      <c r="A267" s="251"/>
      <c r="B267" s="251"/>
      <c r="C267" s="251"/>
      <c r="D267" s="251"/>
      <c r="I267" s="311"/>
    </row>
    <row r="268" spans="1:9">
      <c r="A268" s="251"/>
      <c r="B268" s="251"/>
      <c r="C268" s="251"/>
      <c r="D268" s="251"/>
      <c r="I268" s="311"/>
    </row>
    <row r="269" spans="1:9">
      <c r="A269" s="251"/>
      <c r="B269" s="251"/>
      <c r="C269" s="251"/>
      <c r="D269" s="251"/>
      <c r="I269" s="311"/>
    </row>
    <row r="270" spans="1:9">
      <c r="A270" s="251"/>
      <c r="B270" s="251"/>
      <c r="C270" s="251"/>
      <c r="D270" s="251"/>
      <c r="I270" s="311"/>
    </row>
    <row r="271" spans="1:9">
      <c r="A271" s="251"/>
      <c r="B271" s="251"/>
      <c r="C271" s="251"/>
      <c r="D271" s="251"/>
      <c r="I271" s="311"/>
    </row>
    <row r="272" spans="1:9">
      <c r="A272" s="251"/>
      <c r="B272" s="251"/>
      <c r="C272" s="251"/>
      <c r="D272" s="251"/>
      <c r="I272" s="311"/>
    </row>
    <row r="273" spans="1:9">
      <c r="A273" s="251"/>
      <c r="B273" s="251"/>
      <c r="C273" s="251"/>
      <c r="D273" s="251"/>
      <c r="I273" s="311"/>
    </row>
    <row r="274" spans="1:9">
      <c r="A274" s="251"/>
      <c r="B274" s="251"/>
      <c r="C274" s="251"/>
      <c r="D274" s="251"/>
      <c r="I274" s="311"/>
    </row>
    <row r="275" spans="1:9">
      <c r="A275" s="251"/>
      <c r="B275" s="251"/>
      <c r="C275" s="251"/>
      <c r="D275" s="251"/>
      <c r="I275" s="311"/>
    </row>
    <row r="276" spans="1:9">
      <c r="A276" s="251"/>
      <c r="B276" s="251"/>
      <c r="C276" s="251"/>
      <c r="D276" s="251"/>
      <c r="I276" s="311"/>
    </row>
    <row r="277" spans="1:9">
      <c r="A277" s="251"/>
      <c r="B277" s="251"/>
      <c r="C277" s="251"/>
      <c r="D277" s="251"/>
      <c r="I277" s="311"/>
    </row>
    <row r="278" spans="1:9">
      <c r="A278" s="251"/>
      <c r="B278" s="251"/>
      <c r="C278" s="251"/>
      <c r="D278" s="251"/>
      <c r="I278" s="311"/>
    </row>
    <row r="279" spans="1:9">
      <c r="A279" s="251"/>
      <c r="B279" s="251"/>
      <c r="C279" s="251"/>
      <c r="D279" s="251"/>
      <c r="I279" s="311"/>
    </row>
    <row r="280" spans="1:9">
      <c r="A280" s="251"/>
      <c r="B280" s="251"/>
      <c r="C280" s="251"/>
      <c r="D280" s="251"/>
      <c r="I280" s="311"/>
    </row>
    <row r="281" spans="1:9">
      <c r="A281" s="251"/>
      <c r="B281" s="251"/>
      <c r="C281" s="251"/>
      <c r="D281" s="251"/>
      <c r="I281" s="311"/>
    </row>
    <row r="282" spans="1:9">
      <c r="A282" s="251"/>
      <c r="B282" s="251"/>
      <c r="C282" s="251"/>
      <c r="D282" s="251"/>
      <c r="I282" s="311"/>
    </row>
    <row r="283" spans="1:9">
      <c r="A283" s="251"/>
      <c r="B283" s="251"/>
      <c r="C283" s="251"/>
      <c r="D283" s="251"/>
      <c r="I283" s="311"/>
    </row>
    <row r="284" spans="1:9">
      <c r="A284" s="251"/>
      <c r="B284" s="251"/>
      <c r="C284" s="251"/>
      <c r="D284" s="251"/>
      <c r="I284" s="311"/>
    </row>
    <row r="285" spans="1:9">
      <c r="A285" s="251"/>
      <c r="B285" s="251"/>
      <c r="C285" s="251"/>
      <c r="D285" s="251"/>
      <c r="I285" s="311"/>
    </row>
    <row r="286" spans="1:9">
      <c r="A286" s="251"/>
      <c r="B286" s="251"/>
      <c r="C286" s="251"/>
      <c r="D286" s="251"/>
      <c r="I286" s="311"/>
    </row>
    <row r="287" spans="1:9">
      <c r="A287" s="251"/>
      <c r="B287" s="251"/>
      <c r="C287" s="251"/>
      <c r="D287" s="251"/>
      <c r="I287" s="311"/>
    </row>
    <row r="288" spans="1:9">
      <c r="A288" s="251"/>
      <c r="B288" s="251"/>
      <c r="C288" s="251"/>
      <c r="D288" s="251"/>
      <c r="I288" s="311"/>
    </row>
    <row r="289" spans="1:9">
      <c r="A289" s="251"/>
      <c r="B289" s="251"/>
      <c r="C289" s="251"/>
      <c r="D289" s="251"/>
      <c r="I289" s="311"/>
    </row>
    <row r="290" spans="1:9">
      <c r="A290" s="251"/>
      <c r="B290" s="251"/>
      <c r="C290" s="251"/>
      <c r="D290" s="251"/>
      <c r="I290" s="311"/>
    </row>
    <row r="291" spans="1:9">
      <c r="A291" s="251"/>
      <c r="B291" s="251"/>
      <c r="C291" s="251"/>
      <c r="D291" s="251"/>
      <c r="I291" s="311"/>
    </row>
    <row r="292" spans="1:9">
      <c r="A292" s="251"/>
      <c r="B292" s="251"/>
      <c r="C292" s="251"/>
      <c r="D292" s="251"/>
      <c r="I292" s="311"/>
    </row>
    <row r="293" spans="1:9">
      <c r="A293" s="251"/>
      <c r="B293" s="251"/>
      <c r="C293" s="251"/>
      <c r="D293" s="251"/>
      <c r="I293" s="311"/>
    </row>
    <row r="294" spans="1:9">
      <c r="A294" s="251"/>
      <c r="B294" s="251"/>
      <c r="C294" s="251"/>
      <c r="D294" s="251"/>
      <c r="I294" s="311"/>
    </row>
    <row r="295" spans="1:9">
      <c r="A295" s="251"/>
      <c r="B295" s="251"/>
      <c r="C295" s="251"/>
      <c r="D295" s="251"/>
      <c r="I295" s="311"/>
    </row>
    <row r="296" spans="1:9">
      <c r="A296" s="251"/>
      <c r="B296" s="251"/>
      <c r="C296" s="251"/>
      <c r="D296" s="251"/>
      <c r="I296" s="311"/>
    </row>
    <row r="297" spans="1:9">
      <c r="A297" s="251"/>
      <c r="B297" s="251"/>
      <c r="C297" s="251"/>
      <c r="D297" s="251"/>
      <c r="I297" s="311"/>
    </row>
    <row r="298" spans="1:9">
      <c r="A298" s="251"/>
      <c r="B298" s="251"/>
      <c r="C298" s="251"/>
      <c r="D298" s="251"/>
      <c r="I298" s="311"/>
    </row>
    <row r="299" spans="1:9">
      <c r="A299" s="251"/>
      <c r="B299" s="251"/>
      <c r="C299" s="251"/>
      <c r="D299" s="251"/>
      <c r="I299" s="311"/>
    </row>
    <row r="300" spans="1:9">
      <c r="A300" s="251"/>
      <c r="B300" s="251"/>
      <c r="C300" s="251"/>
      <c r="D300" s="251"/>
      <c r="I300" s="311"/>
    </row>
    <row r="301" spans="1:9">
      <c r="A301" s="251"/>
      <c r="B301" s="251"/>
      <c r="C301" s="251"/>
      <c r="D301" s="251"/>
      <c r="I301" s="311"/>
    </row>
    <row r="302" spans="1:9">
      <c r="A302" s="251"/>
      <c r="B302" s="251"/>
      <c r="C302" s="251"/>
      <c r="D302" s="251"/>
      <c r="I302" s="311"/>
    </row>
    <row r="303" spans="1:9">
      <c r="A303" s="251"/>
      <c r="B303" s="251"/>
      <c r="C303" s="251"/>
      <c r="D303" s="251"/>
      <c r="I303" s="311"/>
    </row>
    <row r="304" spans="1:9">
      <c r="A304" s="251"/>
      <c r="B304" s="251"/>
      <c r="C304" s="251"/>
      <c r="D304" s="251"/>
      <c r="I304" s="311"/>
    </row>
    <row r="305" spans="1:9">
      <c r="A305" s="251"/>
      <c r="B305" s="251"/>
      <c r="C305" s="251"/>
      <c r="D305" s="251"/>
      <c r="I305" s="311"/>
    </row>
    <row r="306" spans="1:9">
      <c r="A306" s="251"/>
      <c r="B306" s="251"/>
      <c r="C306" s="251"/>
      <c r="D306" s="251"/>
      <c r="I306" s="311"/>
    </row>
    <row r="307" spans="1:9">
      <c r="A307" s="251"/>
      <c r="B307" s="251"/>
      <c r="C307" s="251"/>
      <c r="D307" s="251"/>
      <c r="I307" s="311"/>
    </row>
    <row r="308" spans="1:9">
      <c r="A308" s="251"/>
      <c r="B308" s="251"/>
      <c r="C308" s="251"/>
      <c r="D308" s="251"/>
      <c r="I308" s="311"/>
    </row>
    <row r="309" spans="1:9">
      <c r="A309" s="251"/>
      <c r="B309" s="251"/>
      <c r="C309" s="251"/>
      <c r="D309" s="251"/>
      <c r="I309" s="311"/>
    </row>
    <row r="310" spans="1:9">
      <c r="A310" s="251"/>
      <c r="B310" s="251"/>
      <c r="C310" s="251"/>
      <c r="D310" s="251"/>
      <c r="I310" s="311"/>
    </row>
    <row r="311" spans="1:9">
      <c r="A311" s="251"/>
      <c r="B311" s="251"/>
      <c r="C311" s="251"/>
      <c r="D311" s="251"/>
      <c r="I311" s="311"/>
    </row>
    <row r="312" spans="1:9">
      <c r="A312" s="251"/>
      <c r="B312" s="251"/>
      <c r="C312" s="251"/>
      <c r="D312" s="251"/>
      <c r="I312" s="311"/>
    </row>
    <row r="313" spans="1:9">
      <c r="A313" s="251"/>
      <c r="B313" s="251"/>
      <c r="C313" s="251"/>
      <c r="D313" s="251"/>
      <c r="I313" s="311"/>
    </row>
    <row r="314" spans="1:9">
      <c r="A314" s="251"/>
      <c r="B314" s="251"/>
      <c r="C314" s="251"/>
      <c r="D314" s="251"/>
      <c r="I314" s="311"/>
    </row>
    <row r="315" spans="1:9">
      <c r="A315" s="251"/>
      <c r="B315" s="251"/>
      <c r="C315" s="251"/>
      <c r="D315" s="251"/>
      <c r="I315" s="311"/>
    </row>
    <row r="316" spans="1:9">
      <c r="A316" s="251"/>
      <c r="B316" s="251"/>
      <c r="C316" s="251"/>
      <c r="D316" s="251"/>
      <c r="I316" s="311"/>
    </row>
    <row r="317" spans="1:9">
      <c r="A317" s="251"/>
      <c r="B317" s="251"/>
      <c r="C317" s="251"/>
      <c r="D317" s="251"/>
      <c r="I317" s="311"/>
    </row>
    <row r="318" spans="1:9">
      <c r="A318" s="251"/>
      <c r="B318" s="251"/>
      <c r="C318" s="251"/>
      <c r="D318" s="251"/>
      <c r="I318" s="311"/>
    </row>
    <row r="319" spans="1:9">
      <c r="A319" s="251"/>
      <c r="B319" s="251"/>
      <c r="C319" s="251"/>
      <c r="D319" s="251"/>
      <c r="I319" s="311"/>
    </row>
    <row r="320" spans="1:9">
      <c r="A320" s="251"/>
      <c r="B320" s="251"/>
      <c r="C320" s="251"/>
      <c r="D320" s="251"/>
      <c r="I320" s="311"/>
    </row>
    <row r="321" spans="1:9">
      <c r="A321" s="251"/>
      <c r="B321" s="251"/>
      <c r="C321" s="251"/>
      <c r="D321" s="251"/>
      <c r="I321" s="311"/>
    </row>
    <row r="322" spans="1:9">
      <c r="A322" s="251"/>
      <c r="B322" s="251"/>
      <c r="C322" s="251"/>
      <c r="D322" s="251"/>
      <c r="I322" s="311"/>
    </row>
    <row r="323" spans="1:9">
      <c r="A323" s="251"/>
      <c r="B323" s="251"/>
      <c r="C323" s="251"/>
      <c r="D323" s="251"/>
      <c r="I323" s="311"/>
    </row>
    <row r="324" spans="1:9">
      <c r="A324" s="251"/>
      <c r="B324" s="251"/>
      <c r="C324" s="251"/>
      <c r="D324" s="251"/>
      <c r="I324" s="311"/>
    </row>
    <row r="325" spans="1:9">
      <c r="A325" s="251"/>
      <c r="B325" s="251"/>
      <c r="C325" s="251"/>
      <c r="D325" s="251"/>
      <c r="I325" s="311"/>
    </row>
    <row r="326" spans="1:9">
      <c r="A326" s="251"/>
      <c r="B326" s="251"/>
      <c r="C326" s="251"/>
      <c r="D326" s="251"/>
      <c r="I326" s="311"/>
    </row>
    <row r="327" spans="1:9">
      <c r="A327" s="251"/>
      <c r="B327" s="251"/>
      <c r="C327" s="251"/>
      <c r="D327" s="251"/>
      <c r="I327" s="311"/>
    </row>
    <row r="328" spans="1:9">
      <c r="A328" s="251"/>
      <c r="B328" s="251"/>
      <c r="C328" s="251"/>
      <c r="D328" s="251"/>
      <c r="I328" s="311"/>
    </row>
    <row r="329" spans="1:9">
      <c r="A329" s="251"/>
      <c r="B329" s="251"/>
      <c r="C329" s="251"/>
      <c r="D329" s="251"/>
      <c r="I329" s="311"/>
    </row>
    <row r="330" spans="1:9">
      <c r="A330" s="251"/>
      <c r="B330" s="251"/>
      <c r="C330" s="251"/>
      <c r="D330" s="251"/>
      <c r="I330" s="311"/>
    </row>
    <row r="331" spans="1:9">
      <c r="A331" s="251"/>
      <c r="B331" s="251"/>
      <c r="C331" s="251"/>
      <c r="D331" s="251"/>
      <c r="I331" s="311"/>
    </row>
    <row r="332" spans="1:9">
      <c r="A332" s="251"/>
      <c r="B332" s="251"/>
      <c r="C332" s="251"/>
      <c r="D332" s="251"/>
      <c r="I332" s="311"/>
    </row>
    <row r="333" spans="1:9">
      <c r="A333" s="251"/>
      <c r="B333" s="251"/>
      <c r="C333" s="251"/>
      <c r="D333" s="251"/>
      <c r="I333" s="311"/>
    </row>
    <row r="334" spans="1:9">
      <c r="A334" s="251"/>
      <c r="B334" s="251"/>
      <c r="C334" s="251"/>
      <c r="D334" s="251"/>
      <c r="I334" s="311"/>
    </row>
    <row r="335" spans="1:9">
      <c r="A335" s="251"/>
      <c r="B335" s="251"/>
      <c r="C335" s="251"/>
      <c r="D335" s="251"/>
      <c r="I335" s="311"/>
    </row>
    <row r="336" spans="1:9">
      <c r="A336" s="251"/>
      <c r="B336" s="251"/>
      <c r="C336" s="251"/>
      <c r="D336" s="251"/>
      <c r="I336" s="311"/>
    </row>
    <row r="337" spans="1:9">
      <c r="A337" s="251"/>
      <c r="B337" s="251"/>
      <c r="C337" s="251"/>
      <c r="D337" s="251"/>
      <c r="I337" s="311"/>
    </row>
    <row r="338" spans="1:9">
      <c r="A338" s="251"/>
      <c r="B338" s="251"/>
      <c r="C338" s="251"/>
      <c r="D338" s="251"/>
      <c r="I338" s="311"/>
    </row>
    <row r="339" spans="1:9">
      <c r="A339" s="251"/>
      <c r="B339" s="251"/>
      <c r="C339" s="251"/>
      <c r="D339" s="251"/>
      <c r="I339" s="311"/>
    </row>
    <row r="340" spans="1:9">
      <c r="A340" s="251"/>
      <c r="B340" s="251"/>
      <c r="C340" s="251"/>
      <c r="D340" s="251"/>
      <c r="I340" s="311"/>
    </row>
    <row r="341" spans="1:9">
      <c r="A341" s="251"/>
      <c r="B341" s="251"/>
      <c r="C341" s="251"/>
      <c r="D341" s="251"/>
      <c r="I341" s="311"/>
    </row>
    <row r="342" spans="1:9">
      <c r="A342" s="251"/>
      <c r="B342" s="251"/>
      <c r="C342" s="251"/>
      <c r="D342" s="251"/>
      <c r="I342" s="311"/>
    </row>
    <row r="343" spans="1:9">
      <c r="A343" s="251"/>
      <c r="B343" s="251"/>
      <c r="C343" s="251"/>
      <c r="D343" s="251"/>
      <c r="I343" s="311"/>
    </row>
    <row r="344" spans="1:9">
      <c r="A344" s="251"/>
      <c r="B344" s="251"/>
      <c r="C344" s="251"/>
      <c r="D344" s="251"/>
      <c r="I344" s="311"/>
    </row>
    <row r="345" spans="1:9">
      <c r="A345" s="251"/>
      <c r="B345" s="251"/>
      <c r="C345" s="251"/>
      <c r="D345" s="251"/>
      <c r="I345" s="311"/>
    </row>
    <row r="346" spans="1:9">
      <c r="A346" s="251"/>
      <c r="B346" s="251"/>
      <c r="C346" s="251"/>
      <c r="D346" s="251"/>
      <c r="I346" s="311"/>
    </row>
    <row r="347" spans="1:9">
      <c r="A347" s="251"/>
      <c r="B347" s="251"/>
      <c r="C347" s="251"/>
      <c r="D347" s="251"/>
      <c r="I347" s="311"/>
    </row>
    <row r="348" spans="1:9">
      <c r="A348" s="251"/>
      <c r="B348" s="251"/>
      <c r="C348" s="251"/>
      <c r="D348" s="251"/>
      <c r="I348" s="311"/>
    </row>
    <row r="349" spans="1:9">
      <c r="A349" s="251"/>
      <c r="B349" s="251"/>
      <c r="C349" s="251"/>
      <c r="D349" s="251"/>
      <c r="I349" s="311"/>
    </row>
    <row r="350" spans="1:9">
      <c r="A350" s="251"/>
      <c r="B350" s="251"/>
      <c r="C350" s="251"/>
      <c r="D350" s="251"/>
      <c r="I350" s="311"/>
    </row>
    <row r="351" spans="1:9">
      <c r="A351" s="251"/>
      <c r="B351" s="251"/>
      <c r="C351" s="251"/>
      <c r="D351" s="251"/>
      <c r="I351" s="311"/>
    </row>
    <row r="352" spans="1:9">
      <c r="A352" s="251"/>
      <c r="B352" s="251"/>
      <c r="C352" s="251"/>
      <c r="D352" s="251"/>
      <c r="I352" s="311"/>
    </row>
    <row r="353" spans="1:9">
      <c r="A353" s="251"/>
      <c r="B353" s="251"/>
      <c r="C353" s="251"/>
      <c r="D353" s="251"/>
      <c r="I353" s="311"/>
    </row>
    <row r="354" spans="1:9">
      <c r="A354" s="251"/>
      <c r="B354" s="251"/>
      <c r="C354" s="251"/>
      <c r="D354" s="251"/>
      <c r="I354" s="311"/>
    </row>
    <row r="355" spans="1:9">
      <c r="A355" s="251"/>
      <c r="B355" s="251"/>
      <c r="C355" s="251"/>
      <c r="D355" s="251"/>
      <c r="I355" s="311"/>
    </row>
    <row r="356" spans="1:9">
      <c r="A356" s="251"/>
      <c r="B356" s="251"/>
      <c r="C356" s="251"/>
      <c r="D356" s="251"/>
      <c r="I356" s="311"/>
    </row>
    <row r="357" spans="1:9">
      <c r="A357" s="251"/>
      <c r="B357" s="251"/>
      <c r="C357" s="251"/>
      <c r="D357" s="251"/>
      <c r="I357" s="311"/>
    </row>
    <row r="358" spans="1:9">
      <c r="A358" s="251"/>
      <c r="B358" s="251"/>
      <c r="C358" s="251"/>
      <c r="D358" s="251"/>
      <c r="I358" s="311"/>
    </row>
    <row r="359" spans="1:9">
      <c r="A359" s="251"/>
      <c r="B359" s="251"/>
      <c r="C359" s="251"/>
      <c r="D359" s="251"/>
      <c r="I359" s="311"/>
    </row>
    <row r="360" spans="1:9">
      <c r="A360" s="251"/>
      <c r="B360" s="251"/>
      <c r="C360" s="251"/>
      <c r="D360" s="251"/>
      <c r="I360" s="311"/>
    </row>
    <row r="361" spans="1:9">
      <c r="A361" s="251"/>
      <c r="B361" s="251"/>
      <c r="C361" s="251"/>
      <c r="D361" s="251"/>
      <c r="I361" s="311"/>
    </row>
    <row r="362" spans="1:9">
      <c r="A362" s="251"/>
      <c r="B362" s="251"/>
      <c r="C362" s="251"/>
      <c r="D362" s="251"/>
      <c r="I362" s="311"/>
    </row>
    <row r="363" spans="1:9">
      <c r="A363" s="251"/>
      <c r="B363" s="251"/>
      <c r="C363" s="251"/>
      <c r="D363" s="251"/>
      <c r="I363" s="311"/>
    </row>
    <row r="364" spans="1:9">
      <c r="A364" s="251"/>
      <c r="B364" s="251"/>
      <c r="C364" s="251"/>
      <c r="D364" s="251"/>
      <c r="I364" s="311"/>
    </row>
    <row r="365" spans="1:9">
      <c r="A365" s="251"/>
      <c r="B365" s="251"/>
      <c r="C365" s="251"/>
      <c r="D365" s="251"/>
      <c r="I365" s="311"/>
    </row>
    <row r="366" spans="1:9">
      <c r="A366" s="251"/>
      <c r="B366" s="251"/>
      <c r="C366" s="251"/>
      <c r="D366" s="251"/>
      <c r="I366" s="311"/>
    </row>
    <row r="367" spans="1:9">
      <c r="A367" s="251"/>
      <c r="B367" s="251"/>
      <c r="C367" s="251"/>
      <c r="D367" s="251"/>
      <c r="I367" s="311"/>
    </row>
    <row r="368" spans="1:9">
      <c r="A368" s="251"/>
      <c r="B368" s="251"/>
      <c r="C368" s="251"/>
      <c r="D368" s="251"/>
      <c r="I368" s="311"/>
    </row>
    <row r="369" spans="1:9">
      <c r="A369" s="251"/>
      <c r="B369" s="251"/>
      <c r="C369" s="251"/>
      <c r="D369" s="251"/>
      <c r="I369" s="311"/>
    </row>
    <row r="370" spans="1:9">
      <c r="A370" s="251"/>
      <c r="B370" s="251"/>
      <c r="C370" s="251"/>
      <c r="D370" s="251"/>
      <c r="I370" s="311"/>
    </row>
    <row r="371" spans="1:9">
      <c r="A371" s="251"/>
      <c r="B371" s="251"/>
      <c r="C371" s="251"/>
      <c r="D371" s="251"/>
      <c r="I371" s="311"/>
    </row>
    <row r="372" spans="1:9">
      <c r="A372" s="251"/>
      <c r="B372" s="251"/>
      <c r="C372" s="251"/>
      <c r="D372" s="251"/>
      <c r="I372" s="311"/>
    </row>
    <row r="373" spans="1:9">
      <c r="A373" s="251"/>
      <c r="B373" s="251"/>
      <c r="C373" s="251"/>
      <c r="D373" s="251"/>
      <c r="I373" s="311"/>
    </row>
    <row r="374" spans="1:9">
      <c r="A374" s="251"/>
      <c r="B374" s="251"/>
      <c r="C374" s="251"/>
      <c r="D374" s="251"/>
      <c r="I374" s="311"/>
    </row>
    <row r="375" spans="1:9">
      <c r="A375" s="251"/>
      <c r="B375" s="251"/>
      <c r="C375" s="251"/>
      <c r="D375" s="251"/>
      <c r="I375" s="311"/>
    </row>
    <row r="376" spans="1:9">
      <c r="A376" s="251"/>
      <c r="B376" s="251"/>
      <c r="C376" s="251"/>
      <c r="D376" s="251"/>
      <c r="I376" s="311"/>
    </row>
    <row r="377" spans="1:9">
      <c r="A377" s="251"/>
      <c r="B377" s="251"/>
      <c r="C377" s="251"/>
      <c r="D377" s="251"/>
      <c r="I377" s="311"/>
    </row>
    <row r="378" spans="1:9">
      <c r="A378" s="251"/>
      <c r="B378" s="251"/>
      <c r="C378" s="251"/>
      <c r="D378" s="251"/>
      <c r="I378" s="311"/>
    </row>
    <row r="379" spans="1:9">
      <c r="A379" s="251"/>
      <c r="B379" s="251"/>
      <c r="C379" s="251"/>
      <c r="D379" s="251"/>
      <c r="I379" s="311"/>
    </row>
    <row r="380" spans="1:9">
      <c r="A380" s="251"/>
      <c r="B380" s="251"/>
      <c r="C380" s="251"/>
      <c r="D380" s="251"/>
      <c r="I380" s="311"/>
    </row>
    <row r="381" spans="1:9">
      <c r="A381" s="251"/>
      <c r="B381" s="251"/>
      <c r="C381" s="251"/>
      <c r="D381" s="251"/>
      <c r="I381" s="311"/>
    </row>
    <row r="382" spans="1:9">
      <c r="A382" s="251"/>
      <c r="B382" s="251"/>
      <c r="C382" s="251"/>
      <c r="D382" s="251"/>
      <c r="I382" s="311"/>
    </row>
    <row r="383" spans="1:9">
      <c r="A383" s="251"/>
      <c r="B383" s="251"/>
      <c r="C383" s="251"/>
      <c r="D383" s="251"/>
      <c r="I383" s="311"/>
    </row>
    <row r="384" spans="1:9">
      <c r="A384" s="251"/>
      <c r="B384" s="251"/>
      <c r="C384" s="251"/>
      <c r="D384" s="251"/>
      <c r="I384" s="311"/>
    </row>
    <row r="385" spans="1:9">
      <c r="A385" s="251"/>
      <c r="B385" s="251"/>
      <c r="C385" s="251"/>
      <c r="D385" s="251"/>
      <c r="I385" s="311"/>
    </row>
    <row r="386" spans="1:9">
      <c r="A386" s="251"/>
      <c r="B386" s="251"/>
      <c r="C386" s="251"/>
      <c r="D386" s="251"/>
      <c r="I386" s="311"/>
    </row>
    <row r="387" spans="1:9">
      <c r="A387" s="251"/>
      <c r="B387" s="251"/>
      <c r="C387" s="251"/>
      <c r="D387" s="251"/>
      <c r="I387" s="311"/>
    </row>
    <row r="388" spans="1:9">
      <c r="A388" s="251"/>
      <c r="B388" s="251"/>
      <c r="C388" s="251"/>
      <c r="D388" s="251"/>
      <c r="I388" s="311"/>
    </row>
    <row r="389" spans="1:9">
      <c r="A389" s="251"/>
      <c r="B389" s="251"/>
      <c r="C389" s="251"/>
      <c r="D389" s="251"/>
      <c r="I389" s="311"/>
    </row>
    <row r="390" spans="1:9">
      <c r="A390" s="251"/>
      <c r="B390" s="251"/>
      <c r="C390" s="251"/>
      <c r="D390" s="251"/>
      <c r="I390" s="311"/>
    </row>
    <row r="391" spans="1:9">
      <c r="A391" s="251"/>
      <c r="B391" s="251"/>
      <c r="C391" s="251"/>
      <c r="D391" s="251"/>
      <c r="I391" s="311"/>
    </row>
    <row r="392" spans="1:9">
      <c r="A392" s="251"/>
      <c r="B392" s="251"/>
      <c r="C392" s="251"/>
      <c r="D392" s="251"/>
      <c r="I392" s="311"/>
    </row>
    <row r="393" spans="1:9">
      <c r="A393" s="251"/>
      <c r="B393" s="251"/>
      <c r="C393" s="251"/>
      <c r="D393" s="251"/>
      <c r="I393" s="311"/>
    </row>
    <row r="394" spans="1:9">
      <c r="A394" s="251"/>
      <c r="B394" s="251"/>
      <c r="C394" s="251"/>
      <c r="D394" s="251"/>
      <c r="I394" s="311"/>
    </row>
    <row r="395" spans="1:9">
      <c r="A395" s="251"/>
      <c r="B395" s="251"/>
      <c r="C395" s="251"/>
      <c r="D395" s="251"/>
      <c r="I395" s="311"/>
    </row>
    <row r="396" spans="1:9">
      <c r="A396" s="251"/>
      <c r="B396" s="251"/>
      <c r="C396" s="251"/>
      <c r="D396" s="251"/>
      <c r="I396" s="311"/>
    </row>
    <row r="397" spans="1:9">
      <c r="A397" s="251"/>
      <c r="B397" s="251"/>
      <c r="C397" s="251"/>
      <c r="D397" s="251"/>
      <c r="I397" s="311"/>
    </row>
    <row r="398" spans="1:9">
      <c r="A398" s="251"/>
      <c r="B398" s="251"/>
      <c r="C398" s="251"/>
      <c r="D398" s="251"/>
      <c r="I398" s="311"/>
    </row>
    <row r="399" spans="1:9">
      <c r="A399" s="251"/>
      <c r="B399" s="251"/>
      <c r="C399" s="251"/>
      <c r="D399" s="251"/>
      <c r="I399" s="311"/>
    </row>
    <row r="400" spans="1:9">
      <c r="A400" s="251"/>
      <c r="B400" s="251"/>
      <c r="C400" s="251"/>
      <c r="D400" s="251"/>
      <c r="I400" s="311"/>
    </row>
    <row r="401" spans="1:9">
      <c r="A401" s="251"/>
      <c r="B401" s="251"/>
      <c r="C401" s="251"/>
      <c r="D401" s="251"/>
      <c r="I401" s="311"/>
    </row>
    <row r="402" spans="1:9">
      <c r="A402" s="251"/>
      <c r="B402" s="251"/>
      <c r="C402" s="251"/>
      <c r="D402" s="251"/>
      <c r="I402" s="311"/>
    </row>
    <row r="403" spans="1:9">
      <c r="A403" s="251"/>
      <c r="B403" s="251"/>
      <c r="C403" s="251"/>
      <c r="D403" s="251"/>
      <c r="I403" s="311"/>
    </row>
    <row r="404" spans="1:9">
      <c r="A404" s="251"/>
      <c r="B404" s="251"/>
      <c r="C404" s="251"/>
      <c r="D404" s="251"/>
      <c r="I404" s="311"/>
    </row>
    <row r="405" spans="1:9">
      <c r="A405" s="251"/>
      <c r="B405" s="251"/>
      <c r="C405" s="251"/>
      <c r="D405" s="251"/>
      <c r="I405" s="311"/>
    </row>
    <row r="406" spans="1:9">
      <c r="A406" s="251"/>
      <c r="B406" s="251"/>
      <c r="C406" s="251"/>
      <c r="D406" s="251"/>
      <c r="I406" s="311"/>
    </row>
    <row r="407" spans="1:9">
      <c r="A407" s="251"/>
      <c r="B407" s="251"/>
      <c r="C407" s="251"/>
      <c r="D407" s="251"/>
      <c r="I407" s="311"/>
    </row>
    <row r="408" spans="1:9">
      <c r="A408" s="251"/>
      <c r="B408" s="251"/>
      <c r="C408" s="251"/>
      <c r="D408" s="251"/>
      <c r="I408" s="311"/>
    </row>
    <row r="409" spans="1:9">
      <c r="A409" s="251"/>
      <c r="B409" s="251"/>
      <c r="C409" s="251"/>
      <c r="D409" s="251"/>
      <c r="I409" s="311"/>
    </row>
    <row r="410" spans="1:9">
      <c r="A410" s="251"/>
      <c r="B410" s="251"/>
      <c r="C410" s="251"/>
      <c r="D410" s="251"/>
      <c r="I410" s="311"/>
    </row>
    <row r="411" spans="1:9">
      <c r="A411" s="251"/>
      <c r="B411" s="251"/>
      <c r="C411" s="251"/>
      <c r="D411" s="251"/>
      <c r="I411" s="311"/>
    </row>
    <row r="412" spans="1:9">
      <c r="A412" s="251"/>
      <c r="B412" s="251"/>
      <c r="C412" s="251"/>
      <c r="D412" s="251"/>
      <c r="I412" s="311"/>
    </row>
    <row r="413" spans="1:9">
      <c r="A413" s="251"/>
      <c r="B413" s="251"/>
      <c r="C413" s="251"/>
      <c r="D413" s="251"/>
      <c r="I413" s="311"/>
    </row>
    <row r="414" spans="1:9">
      <c r="I414" s="311"/>
    </row>
    <row r="415" spans="1:9">
      <c r="I415" s="311"/>
    </row>
    <row r="416" spans="1:9">
      <c r="I416" s="311"/>
    </row>
    <row r="417" spans="9:9">
      <c r="I417" s="311"/>
    </row>
    <row r="418" spans="9:9">
      <c r="I418" s="311"/>
    </row>
    <row r="419" spans="9:9">
      <c r="I419" s="311"/>
    </row>
    <row r="420" spans="9:9">
      <c r="I420" s="311"/>
    </row>
    <row r="421" spans="9:9">
      <c r="I421" s="311"/>
    </row>
    <row r="422" spans="9:9">
      <c r="I422" s="311"/>
    </row>
    <row r="423" spans="9:9">
      <c r="I423" s="311"/>
    </row>
    <row r="424" spans="9:9">
      <c r="I424" s="311"/>
    </row>
    <row r="425" spans="9:9">
      <c r="I425" s="311"/>
    </row>
    <row r="426" spans="9:9">
      <c r="I426" s="311"/>
    </row>
    <row r="427" spans="9:9">
      <c r="I427" s="311"/>
    </row>
    <row r="428" spans="9:9">
      <c r="I428" s="311"/>
    </row>
    <row r="429" spans="9:9">
      <c r="I429" s="311"/>
    </row>
    <row r="430" spans="9:9">
      <c r="I430" s="311"/>
    </row>
    <row r="431" spans="9:9">
      <c r="I431" s="311"/>
    </row>
    <row r="432" spans="9:9">
      <c r="I432" s="311"/>
    </row>
    <row r="433" spans="9:9">
      <c r="I433" s="311"/>
    </row>
    <row r="434" spans="9:9">
      <c r="I434" s="311"/>
    </row>
    <row r="435" spans="9:9">
      <c r="I435" s="311"/>
    </row>
    <row r="436" spans="9:9">
      <c r="I436" s="311"/>
    </row>
    <row r="437" spans="9:9">
      <c r="I437" s="311"/>
    </row>
    <row r="438" spans="9:9">
      <c r="I438" s="311"/>
    </row>
    <row r="439" spans="9:9">
      <c r="I439" s="311"/>
    </row>
    <row r="440" spans="9:9">
      <c r="I440" s="311"/>
    </row>
    <row r="441" spans="9:9">
      <c r="I441" s="311"/>
    </row>
    <row r="442" spans="9:9">
      <c r="I442" s="311"/>
    </row>
    <row r="443" spans="9:9">
      <c r="I443" s="311"/>
    </row>
    <row r="444" spans="9:9">
      <c r="I444" s="311"/>
    </row>
    <row r="445" spans="9:9">
      <c r="I445" s="311"/>
    </row>
    <row r="446" spans="9:9">
      <c r="I446" s="311"/>
    </row>
    <row r="447" spans="9:9">
      <c r="I447" s="311"/>
    </row>
    <row r="448" spans="9:9">
      <c r="I448" s="311"/>
    </row>
    <row r="449" spans="9:9">
      <c r="I449" s="311"/>
    </row>
    <row r="450" spans="9:9">
      <c r="I450" s="311"/>
    </row>
    <row r="451" spans="9:9">
      <c r="I451" s="311"/>
    </row>
    <row r="452" spans="9:9">
      <c r="I452" s="311"/>
    </row>
    <row r="453" spans="9:9">
      <c r="I453" s="311"/>
    </row>
    <row r="454" spans="9:9">
      <c r="I454" s="311"/>
    </row>
    <row r="455" spans="9:9">
      <c r="I455" s="311"/>
    </row>
    <row r="456" spans="9:9">
      <c r="I456" s="311"/>
    </row>
    <row r="457" spans="9:9">
      <c r="I457" s="311"/>
    </row>
    <row r="458" spans="9:9">
      <c r="I458" s="311"/>
    </row>
    <row r="459" spans="9:9">
      <c r="I459" s="311"/>
    </row>
    <row r="460" spans="9:9">
      <c r="I460" s="311"/>
    </row>
    <row r="461" spans="9:9">
      <c r="I461" s="311"/>
    </row>
    <row r="462" spans="9:9">
      <c r="I462" s="311"/>
    </row>
    <row r="463" spans="9:9">
      <c r="I463" s="311"/>
    </row>
    <row r="464" spans="9:9">
      <c r="I464" s="311"/>
    </row>
    <row r="465" spans="9:9">
      <c r="I465" s="311"/>
    </row>
    <row r="466" spans="9:9">
      <c r="I466" s="311"/>
    </row>
    <row r="467" spans="9:9">
      <c r="I467" s="311"/>
    </row>
    <row r="468" spans="9:9">
      <c r="I468" s="311"/>
    </row>
    <row r="469" spans="9:9">
      <c r="I469" s="311"/>
    </row>
    <row r="470" spans="9:9">
      <c r="I470" s="311"/>
    </row>
    <row r="471" spans="9:9">
      <c r="I471" s="311"/>
    </row>
    <row r="472" spans="9:9">
      <c r="I472" s="311"/>
    </row>
    <row r="473" spans="9:9">
      <c r="I473" s="311"/>
    </row>
    <row r="474" spans="9:9">
      <c r="I474" s="311"/>
    </row>
    <row r="475" spans="9:9">
      <c r="I475" s="311"/>
    </row>
    <row r="476" spans="9:9">
      <c r="I476" s="311"/>
    </row>
    <row r="477" spans="9:9">
      <c r="I477" s="311"/>
    </row>
    <row r="478" spans="9:9">
      <c r="I478" s="311"/>
    </row>
    <row r="479" spans="9:9">
      <c r="I479" s="311"/>
    </row>
    <row r="480" spans="9:9">
      <c r="I480" s="311"/>
    </row>
    <row r="481" spans="9:9">
      <c r="I481" s="311"/>
    </row>
    <row r="482" spans="9:9">
      <c r="I482" s="311"/>
    </row>
    <row r="483" spans="9:9">
      <c r="I483" s="311"/>
    </row>
    <row r="484" spans="9:9">
      <c r="I484" s="311"/>
    </row>
    <row r="485" spans="9:9">
      <c r="I485" s="311"/>
    </row>
    <row r="486" spans="9:9">
      <c r="I486" s="311"/>
    </row>
    <row r="487" spans="9:9">
      <c r="I487" s="311"/>
    </row>
    <row r="488" spans="9:9">
      <c r="I488" s="311"/>
    </row>
    <row r="489" spans="9:9">
      <c r="I489" s="311"/>
    </row>
    <row r="490" spans="9:9">
      <c r="I490" s="311"/>
    </row>
    <row r="491" spans="9:9">
      <c r="I491" s="311"/>
    </row>
    <row r="492" spans="9:9">
      <c r="I492" s="311"/>
    </row>
    <row r="493" spans="9:9">
      <c r="I493" s="311"/>
    </row>
    <row r="494" spans="9:9">
      <c r="I494" s="311"/>
    </row>
    <row r="495" spans="9:9">
      <c r="I495" s="311"/>
    </row>
    <row r="496" spans="9:9">
      <c r="I496" s="311"/>
    </row>
    <row r="497" spans="9:9">
      <c r="I497" s="311"/>
    </row>
    <row r="498" spans="9:9">
      <c r="I498" s="311"/>
    </row>
    <row r="499" spans="9:9">
      <c r="I499" s="311"/>
    </row>
    <row r="500" spans="9:9">
      <c r="I500" s="311"/>
    </row>
    <row r="501" spans="9:9">
      <c r="I501" s="311"/>
    </row>
    <row r="502" spans="9:9">
      <c r="I502" s="311"/>
    </row>
    <row r="503" spans="9:9">
      <c r="I503" s="311"/>
    </row>
    <row r="504" spans="9:9">
      <c r="I504" s="311"/>
    </row>
    <row r="505" spans="9:9">
      <c r="I505" s="311"/>
    </row>
    <row r="506" spans="9:9">
      <c r="I506" s="311"/>
    </row>
    <row r="507" spans="9:9">
      <c r="I507" s="311"/>
    </row>
    <row r="508" spans="9:9">
      <c r="I508" s="311"/>
    </row>
    <row r="509" spans="9:9">
      <c r="I509" s="311"/>
    </row>
    <row r="510" spans="9:9">
      <c r="I510" s="311"/>
    </row>
    <row r="511" spans="9:9">
      <c r="I511" s="311"/>
    </row>
    <row r="512" spans="9:9">
      <c r="I512" s="311"/>
    </row>
    <row r="513" spans="9:9">
      <c r="I513" s="311"/>
    </row>
    <row r="514" spans="9:9">
      <c r="I514" s="311"/>
    </row>
    <row r="515" spans="9:9">
      <c r="I515" s="311"/>
    </row>
    <row r="516" spans="9:9">
      <c r="I516" s="311"/>
    </row>
    <row r="517" spans="9:9">
      <c r="I517" s="311"/>
    </row>
    <row r="518" spans="9:9">
      <c r="I518" s="311"/>
    </row>
    <row r="519" spans="9:9">
      <c r="I519" s="311"/>
    </row>
    <row r="520" spans="9:9">
      <c r="I520" s="311"/>
    </row>
    <row r="521" spans="9:9">
      <c r="I521" s="311"/>
    </row>
    <row r="522" spans="9:9">
      <c r="I522" s="311"/>
    </row>
    <row r="523" spans="9:9">
      <c r="I523" s="311"/>
    </row>
    <row r="524" spans="9:9">
      <c r="I524" s="311"/>
    </row>
    <row r="525" spans="9:9">
      <c r="I525" s="311"/>
    </row>
    <row r="526" spans="9:9">
      <c r="I526" s="311"/>
    </row>
    <row r="527" spans="9:9">
      <c r="I527" s="311"/>
    </row>
    <row r="528" spans="9:9">
      <c r="I528" s="311"/>
    </row>
    <row r="529" spans="9:9">
      <c r="I529" s="311"/>
    </row>
    <row r="530" spans="9:9">
      <c r="I530" s="311"/>
    </row>
    <row r="531" spans="9:9">
      <c r="I531" s="311"/>
    </row>
    <row r="532" spans="9:9">
      <c r="I532" s="311"/>
    </row>
    <row r="533" spans="9:9">
      <c r="I533" s="311"/>
    </row>
    <row r="534" spans="9:9">
      <c r="I534" s="311"/>
    </row>
    <row r="535" spans="9:9">
      <c r="I535" s="311"/>
    </row>
    <row r="536" spans="9:9">
      <c r="I536" s="311"/>
    </row>
    <row r="537" spans="9:9">
      <c r="I537" s="311"/>
    </row>
    <row r="538" spans="9:9">
      <c r="I538" s="311"/>
    </row>
    <row r="539" spans="9:9">
      <c r="I539" s="311"/>
    </row>
    <row r="540" spans="9:9">
      <c r="I540" s="311"/>
    </row>
    <row r="541" spans="9:9">
      <c r="I541" s="311"/>
    </row>
    <row r="542" spans="9:9">
      <c r="I542" s="311"/>
    </row>
    <row r="543" spans="9:9">
      <c r="I543" s="311"/>
    </row>
    <row r="544" spans="9:9">
      <c r="I544" s="311"/>
    </row>
    <row r="545" spans="9:9">
      <c r="I545" s="311"/>
    </row>
    <row r="546" spans="9:9">
      <c r="I546" s="311"/>
    </row>
    <row r="547" spans="9:9">
      <c r="I547" s="311"/>
    </row>
    <row r="548" spans="9:9">
      <c r="I548" s="311"/>
    </row>
    <row r="549" spans="9:9">
      <c r="I549" s="311"/>
    </row>
    <row r="550" spans="9:9">
      <c r="I550" s="311"/>
    </row>
    <row r="551" spans="9:9">
      <c r="I551" s="311"/>
    </row>
    <row r="552" spans="9:9">
      <c r="I552" s="311"/>
    </row>
    <row r="553" spans="9:9">
      <c r="I553" s="311"/>
    </row>
    <row r="554" spans="9:9">
      <c r="I554" s="311"/>
    </row>
    <row r="555" spans="9:9">
      <c r="I555" s="311"/>
    </row>
    <row r="556" spans="9:9">
      <c r="I556" s="311"/>
    </row>
    <row r="557" spans="9:9">
      <c r="I557" s="311"/>
    </row>
    <row r="558" spans="9:9">
      <c r="I558" s="311"/>
    </row>
    <row r="559" spans="9:9">
      <c r="I559" s="311"/>
    </row>
    <row r="560" spans="9:9">
      <c r="I560" s="311"/>
    </row>
    <row r="561" spans="9:9">
      <c r="I561" s="311"/>
    </row>
    <row r="562" spans="9:9">
      <c r="I562" s="311"/>
    </row>
    <row r="563" spans="9:9">
      <c r="I563" s="311"/>
    </row>
    <row r="564" spans="9:9">
      <c r="I564" s="311"/>
    </row>
    <row r="565" spans="9:9">
      <c r="I565" s="311"/>
    </row>
  </sheetData>
  <mergeCells count="42">
    <mergeCell ref="W46:X46"/>
    <mergeCell ref="AB46:AC46"/>
    <mergeCell ref="W47:X47"/>
    <mergeCell ref="AB47:AC47"/>
    <mergeCell ref="W48:X48"/>
    <mergeCell ref="AB48:AC48"/>
    <mergeCell ref="W43:X43"/>
    <mergeCell ref="AB43:AC43"/>
    <mergeCell ref="W44:X44"/>
    <mergeCell ref="AB44:AC44"/>
    <mergeCell ref="W45:X45"/>
    <mergeCell ref="AB45:AC45"/>
    <mergeCell ref="W40:X40"/>
    <mergeCell ref="AB40:AC40"/>
    <mergeCell ref="W41:X41"/>
    <mergeCell ref="AB41:AC41"/>
    <mergeCell ref="W42:X42"/>
    <mergeCell ref="AB42:AC42"/>
    <mergeCell ref="W37:X37"/>
    <mergeCell ref="AB37:AC37"/>
    <mergeCell ref="W38:X38"/>
    <mergeCell ref="AB38:AC38"/>
    <mergeCell ref="W39:X39"/>
    <mergeCell ref="AB39:AC39"/>
    <mergeCell ref="W34:X34"/>
    <mergeCell ref="AB34:AC34"/>
    <mergeCell ref="W35:X35"/>
    <mergeCell ref="AB35:AC35"/>
    <mergeCell ref="W36:X36"/>
    <mergeCell ref="AB36:AC36"/>
    <mergeCell ref="W31:X31"/>
    <mergeCell ref="AB31:AC31"/>
    <mergeCell ref="W32:X32"/>
    <mergeCell ref="AB32:AC32"/>
    <mergeCell ref="W33:X33"/>
    <mergeCell ref="AB33:AC33"/>
    <mergeCell ref="F8:G8"/>
    <mergeCell ref="AF28:AF30"/>
    <mergeCell ref="AG28:AG30"/>
    <mergeCell ref="AH28:AH30"/>
    <mergeCell ref="W29:X30"/>
    <mergeCell ref="AB29:A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 Form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 Whiteside</dc:creator>
  <cp:lastModifiedBy>Kane Whiteside</cp:lastModifiedBy>
  <dcterms:created xsi:type="dcterms:W3CDTF">2026-08-26T14:53:02Z</dcterms:created>
  <dcterms:modified xsi:type="dcterms:W3CDTF">2026-08-26T14:55:31Z</dcterms:modified>
</cp:coreProperties>
</file>