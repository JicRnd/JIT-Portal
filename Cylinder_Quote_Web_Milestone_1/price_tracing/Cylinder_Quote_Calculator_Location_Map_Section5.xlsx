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  <row r="84">
      <c r="A84" s="12" t="inlineStr">
        <is>
          <t>5</t>
        </is>
      </c>
      <c r="B84" s="6" t="inlineStr">
        <is>
          <t>Stroke-Related Cost</t>
        </is>
      </c>
      <c r="C84" s="6" t="inlineStr">
        <is>
          <t>Central aggregator</t>
        </is>
      </c>
      <c r="D84" s="6" t="inlineStr">
        <is>
          <t>Data</t>
        </is>
      </c>
      <c r="E84" s="6" t="inlineStr">
        <is>
          <t>C8</t>
        </is>
      </c>
      <c r="F84" s="6">
        <f>H!W52+A!W53+MH!S52+PH!N34+IH!W36+IMH!S27</f>
        <v/>
      </c>
      <c r="G84" s="6" t="inlineStr">
        <is>
          <t>VERIFIED; combined stroke + cushion amount, not stroke-only.</t>
        </is>
      </c>
    </row>
    <row r="85">
      <c r="A85" s="12" t="inlineStr">
        <is>
          <t>5</t>
        </is>
      </c>
      <c r="B85" s="6" t="inlineStr">
        <is>
          <t>Stroke-Related Cost</t>
        </is>
      </c>
      <c r="C85" s="6" t="inlineStr">
        <is>
          <t>Stroke input</t>
        </is>
      </c>
      <c r="D85" s="6" t="inlineStr">
        <is>
          <t>OrderEntry -&gt; Data</t>
        </is>
      </c>
      <c r="E85" s="6" t="inlineStr">
        <is>
          <t>Data!B8</t>
        </is>
      </c>
      <c r="F85" s="6" t="inlineStr">
        <is>
          <t>Stroke input used by Data!A1 and every active-series stroke formula.</t>
        </is>
      </c>
      <c r="G85" s="6" t="inlineStr">
        <is>
          <t>VERIFIED as downstream input; direct form ControlSource remained previously inferred.</t>
        </is>
      </c>
    </row>
    <row r="86">
      <c r="A86" s="12" t="inlineStr">
        <is>
          <t>5</t>
        </is>
      </c>
      <c r="B86" s="6" t="inlineStr">
        <is>
          <t>Stroke-Related Cost</t>
        </is>
      </c>
      <c r="C86" s="6" t="inlineStr">
        <is>
          <t>Cushion input</t>
        </is>
      </c>
      <c r="D86" s="6" t="inlineStr">
        <is>
          <t>OrderEntry -&gt; Data</t>
        </is>
      </c>
      <c r="E86" s="6" t="inlineStr">
        <is>
          <t>Data!B7</t>
        </is>
      </c>
      <c r="F86" s="6" t="inlineStr">
        <is>
          <t>Cushion code; ShipVia!E18:E24 lists NC, RE, CE, BE, ARE, ACE, ABE.</t>
        </is>
      </c>
      <c r="G86" s="6" t="inlineStr">
        <is>
          <t>VERIFIED</t>
        </is>
      </c>
    </row>
    <row r="87">
      <c r="A87" s="12" t="inlineStr">
        <is>
          <t>5</t>
        </is>
      </c>
      <c r="B87" s="6" t="inlineStr">
        <is>
          <t>Stroke-Related Cost</t>
        </is>
      </c>
      <c r="C87" s="6" t="inlineStr">
        <is>
          <t>H/HM/W total</t>
        </is>
      </c>
      <c r="D87" s="6" t="inlineStr">
        <is>
          <t>H</t>
        </is>
      </c>
      <c r="E87" s="6" t="inlineStr">
        <is>
          <t>W52</t>
        </is>
      </c>
      <c r="F87" s="6">
        <f>SUM(W7:W51)</f>
        <v/>
      </c>
      <c r="G87" s="6" t="inlineStr">
        <is>
          <t>VERIFIED</t>
        </is>
      </c>
    </row>
    <row r="88">
      <c r="A88" s="12" t="inlineStr">
        <is>
          <t>5</t>
        </is>
      </c>
      <c r="B88" s="6" t="inlineStr">
        <is>
          <t>Stroke-Related Cost</t>
        </is>
      </c>
      <c r="C88" s="6" t="inlineStr">
        <is>
          <t>H row formula</t>
        </is>
      </c>
      <c r="D88" s="6" t="inlineStr">
        <is>
          <t>H</t>
        </is>
      </c>
      <c r="E88" s="6" t="inlineStr">
        <is>
          <t>W7:W51</t>
        </is>
      </c>
      <c r="F88" s="6" t="inlineStr">
        <is>
          <t>If Q row is active: cushion multiplier*K row + J row*ROUNDUP(Data!B8,0.1).</t>
        </is>
      </c>
      <c r="G88" s="6" t="inlineStr">
        <is>
          <t>VERIFIED</t>
        </is>
      </c>
    </row>
    <row r="89">
      <c r="A89" s="12" t="inlineStr">
        <is>
          <t>5</t>
        </is>
      </c>
      <c r="B89" s="6" t="inlineStr">
        <is>
          <t>Stroke-Related Cost</t>
        </is>
      </c>
      <c r="C89" s="6" t="inlineStr">
        <is>
          <t>H stroke rates</t>
        </is>
      </c>
      <c r="D89" s="6" t="inlineStr">
        <is>
          <t>H</t>
        </is>
      </c>
      <c r="E89" s="6" t="inlineStr">
        <is>
          <t>J7:J51</t>
        </is>
      </c>
      <c r="F89" s="6" t="inlineStr">
        <is>
          <t>Single Rod Add Per inch of Stroke; row-specific hardcoded values.</t>
        </is>
      </c>
      <c r="G89" s="6" t="inlineStr">
        <is>
          <t>VERIFIED</t>
        </is>
      </c>
    </row>
    <row r="90">
      <c r="A90" s="12" t="inlineStr">
        <is>
          <t>5</t>
        </is>
      </c>
      <c r="B90" s="6" t="inlineStr">
        <is>
          <t>Stroke-Related Cost</t>
        </is>
      </c>
      <c r="C90" s="6" t="inlineStr">
        <is>
          <t>H cushion rates</t>
        </is>
      </c>
      <c r="D90" s="6" t="inlineStr">
        <is>
          <t>H</t>
        </is>
      </c>
      <c r="E90" s="6" t="inlineStr">
        <is>
          <t>K7:K51</t>
        </is>
      </c>
      <c r="F90" s="6" t="inlineStr">
        <is>
          <t>Add For Cushion Per End; row-specific hardcoded values.</t>
        </is>
      </c>
      <c r="G90" s="6" t="inlineStr">
        <is>
          <t>VERIFIED</t>
        </is>
      </c>
    </row>
    <row r="91">
      <c r="A91" s="12" t="inlineStr">
        <is>
          <t>5</t>
        </is>
      </c>
      <c r="B91" s="6" t="inlineStr">
        <is>
          <t>Stroke-Related Cost</t>
        </is>
      </c>
      <c r="C91" s="6" t="inlineStr">
        <is>
          <t>A/LH total</t>
        </is>
      </c>
      <c r="D91" s="6" t="inlineStr">
        <is>
          <t>A</t>
        </is>
      </c>
      <c r="E91" s="6" t="inlineStr">
        <is>
          <t>W53</t>
        </is>
      </c>
      <c r="F91" s="6">
        <f>SUM(W6:W52)</f>
        <v/>
      </c>
      <c r="G91" s="6" t="inlineStr">
        <is>
          <t>VERIFIED</t>
        </is>
      </c>
    </row>
    <row r="92">
      <c r="A92" s="12" t="inlineStr">
        <is>
          <t>5</t>
        </is>
      </c>
      <c r="B92" s="6" t="inlineStr">
        <is>
          <t>Stroke-Related Cost</t>
        </is>
      </c>
      <c r="C92" s="6" t="inlineStr">
        <is>
          <t>A row formula</t>
        </is>
      </c>
      <c r="D92" s="6" t="inlineStr">
        <is>
          <t>A</t>
        </is>
      </c>
      <c r="E92" s="6" t="inlineStr">
        <is>
          <t>W6:W52</t>
        </is>
      </c>
      <c r="F92" s="6" t="inlineStr">
        <is>
          <t>Same structure as H: cushion multiplier*K + J*ROUNDUP(Data!B8,0.1).</t>
        </is>
      </c>
      <c r="G92" s="6" t="inlineStr">
        <is>
          <t>VERIFIED</t>
        </is>
      </c>
    </row>
    <row r="93">
      <c r="A93" s="12" t="inlineStr">
        <is>
          <t>5</t>
        </is>
      </c>
      <c r="B93" s="6" t="inlineStr">
        <is>
          <t>Stroke-Related Cost</t>
        </is>
      </c>
      <c r="C93" s="6" t="inlineStr">
        <is>
          <t>MH total</t>
        </is>
      </c>
      <c r="D93" s="6" t="inlineStr">
        <is>
          <t>MH</t>
        </is>
      </c>
      <c r="E93" s="6" t="inlineStr">
        <is>
          <t>S52</t>
        </is>
      </c>
      <c r="F93" s="6">
        <f>SUM(S7:S51)</f>
        <v/>
      </c>
      <c r="G93" s="6" t="inlineStr">
        <is>
          <t>VERIFIED</t>
        </is>
      </c>
    </row>
    <row r="94">
      <c r="A94" s="12" t="inlineStr">
        <is>
          <t>5</t>
        </is>
      </c>
      <c r="B94" s="6" t="inlineStr">
        <is>
          <t>Stroke-Related Cost</t>
        </is>
      </c>
      <c r="C94" s="6" t="inlineStr">
        <is>
          <t>MH row formula</t>
        </is>
      </c>
      <c r="D94" s="6" t="inlineStr">
        <is>
          <t>MH</t>
        </is>
      </c>
      <c r="E94" s="6" t="inlineStr">
        <is>
          <t>S7:S51</t>
        </is>
      </c>
      <c r="F94" s="6" t="inlineStr">
        <is>
          <t>If O row active: BE=2*I; CE/RE=1*I; otherwise 0 cushion + H*ROUNDUP(Data!B8,0.1).</t>
        </is>
      </c>
      <c r="G94" s="6" t="inlineStr">
        <is>
          <t>VERIFIED</t>
        </is>
      </c>
    </row>
    <row r="95">
      <c r="A95" s="12" t="inlineStr">
        <is>
          <t>5</t>
        </is>
      </c>
      <c r="B95" s="6" t="inlineStr">
        <is>
          <t>Stroke-Related Cost</t>
        </is>
      </c>
      <c r="C95" s="6" t="inlineStr">
        <is>
          <t>IH/IHM total</t>
        </is>
      </c>
      <c r="D95" s="6" t="inlineStr">
        <is>
          <t>IH</t>
        </is>
      </c>
      <c r="E95" s="6" t="inlineStr">
        <is>
          <t>W36</t>
        </is>
      </c>
      <c r="F95" s="6">
        <f>SUM(W7:W35)</f>
        <v/>
      </c>
      <c r="G95" s="6" t="inlineStr">
        <is>
          <t>VERIFIED; metric per-mm stroke rates.</t>
        </is>
      </c>
    </row>
    <row r="96">
      <c r="A96" s="12" t="inlineStr">
        <is>
          <t>5</t>
        </is>
      </c>
      <c r="B96" s="6" t="inlineStr">
        <is>
          <t>Stroke-Related Cost</t>
        </is>
      </c>
      <c r="C96" s="6" t="inlineStr">
        <is>
          <t>IH row formula</t>
        </is>
      </c>
      <c r="D96" s="6" t="inlineStr">
        <is>
          <t>IH</t>
        </is>
      </c>
      <c r="E96" s="6" t="inlineStr">
        <is>
          <t>W7:W35</t>
        </is>
      </c>
      <c r="F96" s="6" t="inlineStr">
        <is>
          <t>Same cushion multiplier structure as H/A; J is per mm, K cushion-per-end.</t>
        </is>
      </c>
      <c r="G96" s="6" t="inlineStr">
        <is>
          <t>VERIFIED</t>
        </is>
      </c>
    </row>
    <row r="97">
      <c r="A97" s="12" t="inlineStr">
        <is>
          <t>5</t>
        </is>
      </c>
      <c r="B97" s="6" t="inlineStr">
        <is>
          <t>Stroke-Related Cost</t>
        </is>
      </c>
      <c r="C97" s="6" t="inlineStr">
        <is>
          <t>IMH total</t>
        </is>
      </c>
      <c r="D97" s="6" t="inlineStr">
        <is>
          <t>IMH</t>
        </is>
      </c>
      <c r="E97" s="6" t="inlineStr">
        <is>
          <t>S27</t>
        </is>
      </c>
      <c r="F97" s="6">
        <f>SUM(S7:S26)</f>
        <v/>
      </c>
      <c r="G97" s="6" t="inlineStr">
        <is>
          <t>VERIFIED; metric per-mm stroke rates.</t>
        </is>
      </c>
    </row>
    <row r="98">
      <c r="A98" s="12" t="inlineStr">
        <is>
          <t>5</t>
        </is>
      </c>
      <c r="B98" s="6" t="inlineStr">
        <is>
          <t>Stroke-Related Cost</t>
        </is>
      </c>
      <c r="C98" s="6" t="inlineStr">
        <is>
          <t>IMH row formula</t>
        </is>
      </c>
      <c r="D98" s="6" t="inlineStr">
        <is>
          <t>IMH</t>
        </is>
      </c>
      <c r="E98" s="6" t="inlineStr">
        <is>
          <t>S7:S26</t>
        </is>
      </c>
      <c r="F98" s="6" t="inlineStr">
        <is>
          <t>Same structure as MH; H is per mm, I cushion-per-end.</t>
        </is>
      </c>
      <c r="G98" s="6" t="inlineStr">
        <is>
          <t>VERIFIED</t>
        </is>
      </c>
    </row>
    <row r="99">
      <c r="A99" s="12" t="inlineStr">
        <is>
          <t>5</t>
        </is>
      </c>
      <c r="B99" s="6" t="inlineStr">
        <is>
          <t>Stroke-Related Cost</t>
        </is>
      </c>
      <c r="C99" s="6" t="inlineStr">
        <is>
          <t>PH reference</t>
        </is>
      </c>
      <c r="D99" s="6" t="inlineStr">
        <is>
          <t>PH</t>
        </is>
      </c>
      <c r="E99" s="6" t="inlineStr">
        <is>
          <t>N34</t>
        </is>
      </c>
      <c r="F99" s="6" t="inlineStr">
        <is>
          <t>Blank in this workbook; contributes zero to Data!C8.</t>
        </is>
      </c>
      <c r="G99" s="6" t="inlineStr">
        <is>
          <t>VERIFIED</t>
        </is>
      </c>
    </row>
    <row r="100">
      <c r="A100" s="12" t="inlineStr">
        <is>
          <t>5</t>
        </is>
      </c>
      <c r="B100" s="6" t="inlineStr">
        <is>
          <t>Stroke-Related Cost</t>
        </is>
      </c>
      <c r="C100" s="6" t="inlineStr">
        <is>
          <t>Cushion multiplier</t>
        </is>
      </c>
      <c r="D100" s="6" t="inlineStr">
        <is>
          <t>H/A/IH</t>
        </is>
      </c>
      <c r="E100" s="6" t="inlineStr">
        <is>
          <t>W-row formula</t>
        </is>
      </c>
      <c r="F100" s="6" t="inlineStr">
        <is>
          <t>NC/other=0; RE=1; CE=1; BE=2; ARE=2; ACE=2; ABE=4.</t>
        </is>
      </c>
      <c r="G100" s="6" t="inlineStr">
        <is>
          <t>VERIFIED</t>
        </is>
      </c>
    </row>
    <row r="101">
      <c r="A101" s="12" t="inlineStr">
        <is>
          <t>5</t>
        </is>
      </c>
      <c r="B101" s="6" t="inlineStr">
        <is>
          <t>Stroke-Related Cost</t>
        </is>
      </c>
      <c r="C101" s="6" t="inlineStr">
        <is>
          <t>Cushion multiplier</t>
        </is>
      </c>
      <c r="D101" s="6" t="inlineStr">
        <is>
          <t>MH/IMH</t>
        </is>
      </c>
      <c r="E101" s="6" t="inlineStr">
        <is>
          <t>S-row formula</t>
        </is>
      </c>
      <c r="F101" s="6" t="inlineStr">
        <is>
          <t>NC/other=0; RE=1; CE=1; BE=2; ARE/ACE/ABE are not handled and therefore produce 0 cushion add.</t>
        </is>
      </c>
      <c r="G101" s="6" t="inlineStr">
        <is>
          <t>VERIFIED</t>
        </is>
      </c>
    </row>
    <row r="102">
      <c r="A102" s="12" t="inlineStr">
        <is>
          <t>5</t>
        </is>
      </c>
      <c r="B102" s="6" t="inlineStr">
        <is>
          <t>Stroke-Related Cost</t>
        </is>
      </c>
      <c r="C102" s="6" t="inlineStr">
        <is>
          <t>Architecture conclusion</t>
        </is>
      </c>
      <c r="D102" s="6" t="inlineStr">
        <is>
          <t>Future HTML pricing engine</t>
        </is>
      </c>
      <c r="E102" s="6" t="inlineStr">
        <is>
          <t>Stroke + cushion rule</t>
        </is>
      </c>
      <c r="F102" s="6" t="inlineStr">
        <is>
          <t>Selected price-table row supplies StrokeRate and CushionRate; compute stroke add plus code-based cushion multiplier.</t>
        </is>
      </c>
      <c r="G102" s="6" t="inlineStr">
        <is>
          <t>VERIFIED design abstraction.</t>
        </is>
      </c>
    </row>
    <row r="103">
      <c r="A103" s="12" t="inlineStr">
        <is>
          <t>5</t>
        </is>
      </c>
      <c r="B103" s="6" t="inlineStr">
        <is>
          <t>Stroke-Related Cost</t>
        </is>
      </c>
      <c r="C103" s="6" t="inlineStr">
        <is>
          <t>Implementation caution</t>
        </is>
      </c>
      <c r="D103" s="6" t="inlineStr">
        <is>
          <t>Future HTML pricing engine</t>
        </is>
      </c>
      <c r="E103" s="6" t="inlineStr">
        <is>
          <t>ROUNDUP(Data!B8,0.1)</t>
        </is>
      </c>
      <c r="F103" s="6" t="inlineStr">
        <is>
          <t>Reproduce Excel behavior with test cases before simplifying the rounding expression.</t>
        </is>
      </c>
      <c r="G103" s="6" t="inlineStr">
        <is>
          <t>OPEN IMPLEMENTATION TEST; source formula VERIFIED.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2026-08-10T16:51:28Z</dcterms:modified>
</cp:coreProperties>
</file>