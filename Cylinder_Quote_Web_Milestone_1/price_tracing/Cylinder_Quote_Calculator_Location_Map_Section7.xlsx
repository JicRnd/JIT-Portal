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section Map" sheetId="1" state="visible" r:id="rId1"/>
  </sheets>
  <definedNames>
    <definedName name="_xlnm._FilterDatabase" localSheetId="0" hidden="1">'Dissection Map'!$A$1:$G$48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name val="Calibri"/>
      <b val="1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22" customWidth="1" min="4" max="4"/>
    <col width="32" customWidth="1" min="5" max="5"/>
    <col width="70" customWidth="1" min="6" max="6"/>
    <col width="38" customWidth="1" min="7" max="7"/>
  </cols>
  <sheetData>
    <row r="1" ht="34" customHeight="1">
      <c r="A1" s="5" t="inlineStr">
        <is>
          <t>Section</t>
        </is>
      </c>
      <c r="B1" s="5" t="inlineStr">
        <is>
          <t>Investigation Area</t>
        </is>
      </c>
      <c r="C1" s="5" t="inlineStr">
        <is>
          <t>Purpose / Item</t>
        </is>
      </c>
      <c r="D1" s="5" t="inlineStr">
        <is>
          <t>Sheet / Layer</t>
        </is>
      </c>
      <c r="E1" s="5" t="inlineStr">
        <is>
          <t>Cell / Range / Control</t>
        </is>
      </c>
      <c r="F1" s="5" t="inlineStr">
        <is>
          <t>Formula / Logic / Finding</t>
        </is>
      </c>
      <c r="G1" s="5" t="inlineStr">
        <is>
          <t>Status / Notes</t>
        </is>
      </c>
    </row>
    <row r="2" ht="45" customHeight="1">
      <c r="A2" s="7" t="inlineStr">
        <is>
          <t>1</t>
        </is>
      </c>
      <c r="B2" s="7" t="inlineStr">
        <is>
          <t>Cylinder Definition / User Inputs</t>
        </is>
      </c>
      <c r="C2" s="7" t="inlineStr">
        <is>
          <t>True user-entry point</t>
        </is>
      </c>
      <c r="D2" s="7" t="inlineStr">
        <is>
          <t>OrderEntry UserForm</t>
        </is>
      </c>
      <c r="E2" s="7" t="inlineStr">
        <is>
          <t>Form</t>
        </is>
      </c>
      <c r="F2" s="7" t="inlineStr">
        <is>
          <t>The form title is "JIT 2026 Pricing Calculator". User selections are written into workbook cells and those cells drive the downstream formulas.</t>
        </is>
      </c>
      <c r="G2" s="8" t="inlineStr">
        <is>
          <t>VERIFIED from recovered OrderEntry VBA and form definition.</t>
        </is>
      </c>
    </row>
    <row r="3" ht="45" customHeight="1">
      <c r="A3" s="7" t="inlineStr">
        <is>
          <t>1</t>
        </is>
      </c>
      <c r="B3" s="7" t="inlineStr">
        <is>
          <t>Cylinder Definition / User Inputs</t>
        </is>
      </c>
      <c r="C3" s="7" t="inlineStr">
        <is>
          <t>Customer</t>
        </is>
      </c>
      <c r="D3" s="7" t="inlineStr">
        <is>
          <t>OrderEntry -&gt; Customer</t>
        </is>
      </c>
      <c r="E3" s="7" t="inlineStr">
        <is>
          <t>ComboBox2 -&gt; Customer!B1</t>
        </is>
      </c>
      <c r="F3" s="7" t="inlineStr">
        <is>
          <t>ComboBox2_Change writes the selected customer to Customer!B1. RowSource is Customer!B3:G10000.</t>
        </is>
      </c>
      <c r="G3" s="8" t="inlineStr">
        <is>
          <t>VERIFIED</t>
        </is>
      </c>
    </row>
    <row r="4" ht="45" customHeight="1">
      <c r="A4" s="7" t="inlineStr">
        <is>
          <t>1</t>
        </is>
      </c>
      <c r="B4" s="7" t="inlineStr">
        <is>
          <t>Cylinder Definition / User Inputs</t>
        </is>
      </c>
      <c r="C4" s="7" t="inlineStr">
        <is>
          <t>Series</t>
        </is>
      </c>
      <c r="D4" s="7" t="inlineStr">
        <is>
          <t>OrderEntry -&gt; Data</t>
        </is>
      </c>
      <c r="E4" s="7" t="inlineStr">
        <is>
          <t>ComboBox6 -&gt; Data!B3</t>
        </is>
      </c>
      <c r="F4" s="7" t="inlineStr">
        <is>
          <t>Series control. RowSource ShipVia!H2:H12.</t>
        </is>
      </c>
      <c r="G4" s="8" t="inlineStr">
        <is>
          <t>VERIFIED</t>
        </is>
      </c>
    </row>
    <row r="5" ht="45" customHeight="1">
      <c r="A5" s="7" t="inlineStr">
        <is>
          <t>1</t>
        </is>
      </c>
      <c r="B5" s="7" t="inlineStr">
        <is>
          <t>Cylinder Definition / User Inputs</t>
        </is>
      </c>
      <c r="C5" s="7" t="inlineStr">
        <is>
          <t>Mount</t>
        </is>
      </c>
      <c r="D5" s="7" t="inlineStr">
        <is>
          <t>OrderEntry -&gt; Data</t>
        </is>
      </c>
      <c r="E5" s="7" t="inlineStr">
        <is>
          <t>ComboBox5 -&gt; Data!B5</t>
        </is>
      </c>
      <c r="F5" s="7" t="inlineStr">
        <is>
          <t>Mount control. RowSource ShipVia!F2:F27.</t>
        </is>
      </c>
      <c r="G5" s="8" t="inlineStr">
        <is>
          <t>VERIFIED</t>
        </is>
      </c>
    </row>
    <row r="6" ht="45" customHeight="1">
      <c r="A6" s="7" t="inlineStr">
        <is>
          <t>1</t>
        </is>
      </c>
      <c r="B6" s="7" t="inlineStr">
        <is>
          <t>Cylinder Definition / User Inputs</t>
        </is>
      </c>
      <c r="C6" s="7" t="inlineStr">
        <is>
          <t>Bore</t>
        </is>
      </c>
      <c r="D6" s="7" t="inlineStr">
        <is>
          <t>OrderEntry -&gt; Data</t>
        </is>
      </c>
      <c r="E6" s="7" t="inlineStr">
        <is>
          <t>ComboBox11 -&gt; Data!B4</t>
        </is>
      </c>
      <c r="F6" s="7" t="inlineStr">
        <is>
          <t>Bore control. RowSource ShipVia!D21:D36.</t>
        </is>
      </c>
      <c r="G6" s="8" t="inlineStr">
        <is>
          <t>VERIFIED</t>
        </is>
      </c>
    </row>
    <row r="7" ht="45" customHeight="1">
      <c r="A7" s="7" t="inlineStr">
        <is>
          <t>1</t>
        </is>
      </c>
      <c r="B7" s="7" t="inlineStr">
        <is>
          <t>Cylinder Definition / User Inputs</t>
        </is>
      </c>
      <c r="C7" s="7" t="inlineStr">
        <is>
          <t>Stroke</t>
        </is>
      </c>
      <c r="D7" s="7" t="inlineStr">
        <is>
          <t>OrderEntry -&gt; Data</t>
        </is>
      </c>
      <c r="E7" s="7" t="inlineStr">
        <is>
          <t>TextBox22 -&gt; likely Data!B8</t>
        </is>
      </c>
      <c r="F7" s="7" t="inlineStr">
        <is>
          <t>Form label at the TextBox22 position is Stroke. Data!B8 is the workbook stroke input used by model and pricing formulas.</t>
        </is>
      </c>
      <c r="G7" s="9" t="inlineStr">
        <is>
          <t>STRONGLY INFERRED; direct ControlSource still to verify.</t>
        </is>
      </c>
    </row>
    <row r="8" ht="45" customHeight="1">
      <c r="A8" s="7" t="inlineStr">
        <is>
          <t>1</t>
        </is>
      </c>
      <c r="B8" s="7" t="inlineStr">
        <is>
          <t>Cylinder Definition / User Inputs</t>
        </is>
      </c>
      <c r="C8" s="7" t="inlineStr">
        <is>
          <t>Rod</t>
        </is>
      </c>
      <c r="D8" s="7" t="inlineStr">
        <is>
          <t>OrderEntry -&gt; Data</t>
        </is>
      </c>
      <c r="E8" s="7" t="inlineStr">
        <is>
          <t>ComboBox7 -&gt; Data!B6</t>
        </is>
      </c>
      <c r="F8" s="7" t="inlineStr">
        <is>
          <t>Rod control. RowSource ShipVia!K1:K6.</t>
        </is>
      </c>
      <c r="G8" s="8" t="inlineStr">
        <is>
          <t>VERIFIED</t>
        </is>
      </c>
    </row>
    <row r="9" ht="45" customHeight="1">
      <c r="A9" s="7" t="inlineStr">
        <is>
          <t>1</t>
        </is>
      </c>
      <c r="B9" s="7" t="inlineStr">
        <is>
          <t>Cylinder Definition / User Inputs</t>
        </is>
      </c>
      <c r="C9" s="7" t="inlineStr">
        <is>
          <t>Rod Style / Thread</t>
        </is>
      </c>
      <c r="D9" s="7" t="inlineStr">
        <is>
          <t>OrderEntry -&gt; Data</t>
        </is>
      </c>
      <c r="E9" s="7" t="inlineStr">
        <is>
          <t>ComboBox10 -&gt; Data!D15</t>
        </is>
      </c>
      <c r="F9" s="7" t="inlineStr">
        <is>
          <t>Form label is Style. RowSource ShipVia!D12:D16. D15 is used by model-code and rod-thread logic.</t>
        </is>
      </c>
      <c r="G9" s="8" t="inlineStr">
        <is>
          <t>VERIFIED</t>
        </is>
      </c>
    </row>
    <row r="10" ht="45" customHeight="1">
      <c r="A10" s="7" t="inlineStr">
        <is>
          <t>1</t>
        </is>
      </c>
      <c r="B10" s="7" t="inlineStr">
        <is>
          <t>Cylinder Definition / User Inputs</t>
        </is>
      </c>
      <c r="C10" s="7" t="inlineStr">
        <is>
          <t>Cushion</t>
        </is>
      </c>
      <c r="D10" s="7" t="inlineStr">
        <is>
          <t>OrderEntry -&gt; Data</t>
        </is>
      </c>
      <c r="E10" s="7" t="inlineStr">
        <is>
          <t>ComboBox12 -&gt; Data!B7</t>
        </is>
      </c>
      <c r="F10" s="7" t="inlineStr">
        <is>
          <t>Cushion control. RowSource ShipVia!E18:E24.</t>
        </is>
      </c>
      <c r="G10" s="8" t="inlineStr">
        <is>
          <t>VERIFIED</t>
        </is>
      </c>
    </row>
    <row r="11" ht="45" customHeight="1">
      <c r="A11" s="7" t="inlineStr">
        <is>
          <t>1</t>
        </is>
      </c>
      <c r="B11" s="7" t="inlineStr">
        <is>
          <t>Cylinder Definition / User Inputs</t>
        </is>
      </c>
      <c r="C11" s="7" t="inlineStr">
        <is>
          <t>Ports</t>
        </is>
      </c>
      <c r="D11" s="7" t="inlineStr">
        <is>
          <t>OrderEntry -&gt; Data</t>
        </is>
      </c>
      <c r="E11" s="7" t="inlineStr">
        <is>
          <t>ComboBox13 -&gt; Data!D2</t>
        </is>
      </c>
      <c r="F11" s="7" t="inlineStr">
        <is>
          <t>Ports control. RowSource ShipVia!E26:E29.</t>
        </is>
      </c>
      <c r="G11" s="8" t="inlineStr">
        <is>
          <t>VERIFIED</t>
        </is>
      </c>
    </row>
    <row r="12" ht="45" customHeight="1">
      <c r="A12" s="7" t="inlineStr">
        <is>
          <t>1</t>
        </is>
      </c>
      <c r="B12" s="7" t="inlineStr">
        <is>
          <t>Cylinder Definition / User Inputs</t>
        </is>
      </c>
      <c r="C12" s="7" t="inlineStr">
        <is>
          <t>Seal</t>
        </is>
      </c>
      <c r="D12" s="7" t="inlineStr">
        <is>
          <t>OrderEntry -&gt; Data</t>
        </is>
      </c>
      <c r="E12" s="7" t="inlineStr">
        <is>
          <t>ComboBox9 -&gt; Data!B10</t>
        </is>
      </c>
      <c r="F12" s="7" t="inlineStr">
        <is>
          <t>Seal control. RowSource ShipVia!D6:D11.</t>
        </is>
      </c>
      <c r="G12" s="8" t="inlineStr">
        <is>
          <t>VERIFIED</t>
        </is>
      </c>
    </row>
    <row r="13" ht="45" customHeight="1">
      <c r="A13" s="7" t="inlineStr">
        <is>
          <t>1</t>
        </is>
      </c>
      <c r="B13" s="7" t="inlineStr">
        <is>
          <t>Cylinder Definition / User Inputs</t>
        </is>
      </c>
      <c r="C13" s="7" t="inlineStr">
        <is>
          <t>Double Rod End</t>
        </is>
      </c>
      <c r="D13" s="7" t="inlineStr">
        <is>
          <t>OrderEntry -&gt; Data</t>
        </is>
      </c>
      <c r="E13" s="7" t="inlineStr">
        <is>
          <t>TextBox8 -&gt; likely Data!D18</t>
        </is>
      </c>
      <c r="F13" s="7" t="inlineStr">
        <is>
          <t>Form label is DRE (Y). Data!D18 is cleared when form initializes and drives the DRE model prefix plus the C5*0.65 pricing rule.</t>
        </is>
      </c>
      <c r="G13" s="9" t="inlineStr">
        <is>
          <t>STRONGLY INFERRED; direct ControlSource still to verify.</t>
        </is>
      </c>
    </row>
    <row r="14" ht="45" customHeight="1">
      <c r="A14" s="7" t="inlineStr">
        <is>
          <t>1</t>
        </is>
      </c>
      <c r="B14" s="7" t="inlineStr">
        <is>
          <t>Cylinder Definition / User Inputs</t>
        </is>
      </c>
      <c r="C14" s="7" t="inlineStr">
        <is>
          <t>Discount</t>
        </is>
      </c>
      <c r="D14" s="7" t="inlineStr">
        <is>
          <t>OrderEntry -&gt; Data</t>
        </is>
      </c>
      <c r="E14" s="7" t="inlineStr">
        <is>
          <t>TextBoxDiscount -&gt; likely Data!D4</t>
        </is>
      </c>
      <c r="F14" s="7" t="inlineStr">
        <is>
          <t>Form label is Discount. Data!D4 is cleared when form initializes and is the discount/adjustment factor in D6/I13.</t>
        </is>
      </c>
      <c r="G14" s="9" t="inlineStr">
        <is>
          <t>STRONGLY INFERRED; direct ControlSource still to verify.</t>
        </is>
      </c>
    </row>
    <row r="15" ht="45" customHeight="1">
      <c r="A15" s="7" t="inlineStr">
        <is>
          <t>1</t>
        </is>
      </c>
      <c r="B15" s="7" t="inlineStr">
        <is>
          <t>Cylinder Definition / User Inputs</t>
        </is>
      </c>
      <c r="C15" s="7" t="inlineStr">
        <is>
          <t>Pressure</t>
        </is>
      </c>
      <c r="D15" s="7" t="inlineStr">
        <is>
          <t>OrderEntry -&gt; Data</t>
        </is>
      </c>
      <c r="E15" s="7" t="inlineStr">
        <is>
          <t>ComboBox20 -&gt; Data!I16</t>
        </is>
      </c>
      <c r="F15" s="7" t="inlineStr">
        <is>
          <t>Pressure selection; RowSource Data!I22:I34.</t>
        </is>
      </c>
      <c r="G15" s="8" t="inlineStr">
        <is>
          <t>VERIFIED</t>
        </is>
      </c>
    </row>
    <row r="16" ht="45" customHeight="1">
      <c r="A16" s="7" t="inlineStr">
        <is>
          <t>1</t>
        </is>
      </c>
      <c r="B16" s="7" t="inlineStr">
        <is>
          <t>Cylinder Definition / User Inputs</t>
        </is>
      </c>
      <c r="C16" s="7" t="inlineStr">
        <is>
          <t>Special parts 1-6</t>
        </is>
      </c>
      <c r="D16" s="7" t="inlineStr">
        <is>
          <t>OrderEntry -&gt; Data</t>
        </is>
      </c>
      <c r="E16" s="7" t="inlineStr">
        <is>
          <t>ComboBox14:19 -&gt; Data!F26:F31</t>
        </is>
      </c>
      <c r="F16" s="7" t="inlineStr">
        <is>
          <t>Each ComboBox writes its selected part into the matching F26:F31 row; RowSource ShipVia!A40:A500. Quantities appear adjacent on the form and Data G26:G31 is cleared on initialization.</t>
        </is>
      </c>
      <c r="G16" s="8" t="inlineStr">
        <is>
          <t>PART selection VERIFIED; quantity mapping inferred.</t>
        </is>
      </c>
    </row>
    <row r="17" ht="45" customHeight="1">
      <c r="A17" s="7" t="inlineStr">
        <is>
          <t>1</t>
        </is>
      </c>
      <c r="B17" s="7" t="inlineStr">
        <is>
          <t>Cylinder Definition / User Inputs</t>
        </is>
      </c>
      <c r="C17" s="7" t="inlineStr">
        <is>
          <t>Tie Rod Set</t>
        </is>
      </c>
      <c r="D17" s="7" t="inlineStr">
        <is>
          <t>OrderEntry -&gt; Data</t>
        </is>
      </c>
      <c r="E17" s="7" t="inlineStr">
        <is>
          <t>ComboBox26 -&gt; Data!L59</t>
        </is>
      </c>
      <c r="F17" s="7" t="inlineStr">
        <is>
          <t>Tie Rod Set selection; RowSource Data!L60:L69.</t>
        </is>
      </c>
      <c r="G17" s="8" t="inlineStr">
        <is>
          <t>VERIFIED</t>
        </is>
      </c>
    </row>
    <row r="18" ht="45" customHeight="1">
      <c r="A18" s="7" t="inlineStr">
        <is>
          <t>1</t>
        </is>
      </c>
      <c r="B18" s="7" t="inlineStr">
        <is>
          <t>Cylinder Definition / User Inputs</t>
        </is>
      </c>
      <c r="C18" s="7" t="inlineStr">
        <is>
          <t>Form reset behavior</t>
        </is>
      </c>
      <c r="D18" s="7" t="inlineStr">
        <is>
          <t>OrderEntry VBA</t>
        </is>
      </c>
      <c r="E18" s="7" t="inlineStr">
        <is>
          <t>UserForm_Initialize</t>
        </is>
      </c>
      <c r="F18" s="7" t="inlineStr">
        <is>
          <t>Initialization clears Data B2:B29, D2, D4, D15, D18, G9:G25, F26:G32 and other working ranges before a new quote.</t>
        </is>
      </c>
      <c r="G18" s="8" t="inlineStr">
        <is>
          <t>VERIFIED; confirms Data is the working record populated from OrderEntry.</t>
        </is>
      </c>
    </row>
    <row r="19" ht="45" customHeight="1">
      <c r="A19" s="7" t="inlineStr">
        <is>
          <t>1</t>
        </is>
      </c>
      <c r="B19" s="7" t="inlineStr">
        <is>
          <t>Cylinder Definition / User Inputs</t>
        </is>
      </c>
      <c r="C19" s="7" t="inlineStr">
        <is>
          <t>Net Each display</t>
        </is>
      </c>
      <c r="D19" s="7" t="inlineStr">
        <is>
          <t>OrderEntry &lt;- Data</t>
        </is>
      </c>
      <c r="E19" s="7" t="inlineStr">
        <is>
          <t>ListBox1 &lt;- Data!D6</t>
        </is>
      </c>
      <c r="F19" s="7" t="inlineStr">
        <is>
          <t>The form reads Data!D6 into ListBox1, labeled Net Each. This directly links the form to the central calculated cost/net value.</t>
        </is>
      </c>
      <c r="G19" s="8" t="inlineStr">
        <is>
          <t>VERIFIED</t>
        </is>
      </c>
    </row>
    <row r="20" ht="45" customHeight="1">
      <c r="A20" s="8" t="inlineStr">
        <is>
          <t>2</t>
        </is>
      </c>
      <c r="B20" s="8" t="inlineStr">
        <is>
          <t>Model-Code Generation</t>
        </is>
      </c>
      <c r="C20" s="8" t="inlineStr">
        <is>
          <t>Model code assembly</t>
        </is>
      </c>
      <c r="D20" s="8" t="inlineStr">
        <is>
          <t>Data</t>
        </is>
      </c>
      <c r="E20" s="8" t="inlineStr">
        <is>
          <t>A1</t>
        </is>
      </c>
      <c r="F20" s="8">
        <f>CONCATENATE(B3,B1,E5,B1,B4,C1,B8,C1,B6,B1,D15,B1,B7,B1,D2,B1,B10,B1,"S")</f>
        <v/>
      </c>
      <c r="G20" s="8" t="inlineStr">
        <is>
          <t>VERIFIED; full Section 2 trace pending.</t>
        </is>
      </c>
    </row>
    <row r="21" ht="45" customHeight="1">
      <c r="A21" s="8" t="inlineStr">
        <is>
          <t>2</t>
        </is>
      </c>
      <c r="B21" s="8" t="inlineStr">
        <is>
          <t>Model-Code Generation</t>
        </is>
      </c>
      <c r="C21" s="8" t="inlineStr">
        <is>
          <t>Mount/DRE model segment</t>
        </is>
      </c>
      <c r="D21" s="8" t="inlineStr">
        <is>
          <t>Data</t>
        </is>
      </c>
      <c r="E21" s="8" t="inlineStr">
        <is>
          <t>E5</t>
        </is>
      </c>
      <c r="F21" s="8">
        <f>IF(D18="",B5,CONCATENATE("DRE/",B5))</f>
        <v/>
      </c>
      <c r="G21" s="8" t="inlineStr">
        <is>
          <t>VERIFIED</t>
        </is>
      </c>
    </row>
    <row r="22" ht="45" customHeight="1">
      <c r="A22" s="7" t="inlineStr">
        <is>
          <t>4</t>
        </is>
      </c>
      <c r="B22" s="7" t="inlineStr">
        <is>
          <t>Base-Cylinder Component Cost</t>
        </is>
      </c>
      <c r="C22" s="7" t="inlineStr">
        <is>
          <t>Base component cost convergence</t>
        </is>
      </c>
      <c r="D22" s="7" t="inlineStr">
        <is>
          <t>Data</t>
        </is>
      </c>
      <c r="E22" s="7" t="inlineStr">
        <is>
          <t>C5</t>
        </is>
      </c>
      <c r="F22" s="7">
        <f>H!Q52+A!Q53+MH!O52+PH!J34+IH!Q36+IMH!O27</f>
        <v/>
      </c>
      <c r="G22" s="8" t="inlineStr">
        <is>
          <t>VERIFIED</t>
        </is>
      </c>
    </row>
    <row r="23" ht="45" customHeight="1">
      <c r="A23" s="7" t="inlineStr">
        <is>
          <t>5</t>
        </is>
      </c>
      <c r="B23" s="7" t="inlineStr">
        <is>
          <t>Stroke-Related Cost</t>
        </is>
      </c>
      <c r="C23" s="7" t="inlineStr">
        <is>
          <t>Stroke-related cost convergence</t>
        </is>
      </c>
      <c r="D23" s="7" t="inlineStr">
        <is>
          <t>Data</t>
        </is>
      </c>
      <c r="E23" s="7" t="inlineStr">
        <is>
          <t>C8</t>
        </is>
      </c>
      <c r="F23" s="7">
        <f>H!W52+A!W53+MH!S52+PH!N34+IH!W36+IMH!S27</f>
        <v/>
      </c>
      <c r="G23" s="8" t="inlineStr">
        <is>
          <t>VERIFIED</t>
        </is>
      </c>
    </row>
    <row r="24" ht="45" customHeight="1">
      <c r="A24" s="7" t="inlineStr">
        <is>
          <t>6</t>
        </is>
      </c>
      <c r="B24" s="7" t="inlineStr">
        <is>
          <t>Accessories and Adders</t>
        </is>
      </c>
      <c r="C24" s="7" t="inlineStr">
        <is>
          <t>Accessory total</t>
        </is>
      </c>
      <c r="D24" s="7" t="inlineStr">
        <is>
          <t>Data</t>
        </is>
      </c>
      <c r="E24" s="7" t="inlineStr">
        <is>
          <t>H23</t>
        </is>
      </c>
      <c r="F24" s="7">
        <f>SUM(H8:H22)+H25</f>
        <v/>
      </c>
      <c r="G24" s="8" t="inlineStr">
        <is>
          <t>VERIFIED</t>
        </is>
      </c>
    </row>
    <row r="25" ht="45" customHeight="1">
      <c r="A25" s="7" t="inlineStr">
        <is>
          <t>6</t>
        </is>
      </c>
      <c r="B25" s="7" t="inlineStr">
        <is>
          <t>Accessories and Adders</t>
        </is>
      </c>
      <c r="C25" s="7" t="inlineStr">
        <is>
          <t>Additional option total</t>
        </is>
      </c>
      <c r="D25" s="7" t="inlineStr">
        <is>
          <t>Data</t>
        </is>
      </c>
      <c r="E25" s="7" t="inlineStr">
        <is>
          <t>H33</t>
        </is>
      </c>
      <c r="F25" s="7">
        <f>SUM(H26:H32)</f>
        <v/>
      </c>
      <c r="G25" s="8" t="inlineStr">
        <is>
          <t>VERIFIED</t>
        </is>
      </c>
    </row>
    <row r="26" ht="45" customHeight="1">
      <c r="A26" s="7" t="inlineStr">
        <is>
          <t>8</t>
        </is>
      </c>
      <c r="B26" s="7" t="inlineStr">
        <is>
          <t>Cost to List Price to Selling Price</t>
        </is>
      </c>
      <c r="C26" s="7" t="inlineStr">
        <is>
          <t>Central pricing convergence</t>
        </is>
      </c>
      <c r="D26" s="7" t="inlineStr">
        <is>
          <t>Data</t>
        </is>
      </c>
      <c r="E26" s="7" t="inlineStr">
        <is>
          <t>D6</t>
        </is>
      </c>
      <c r="F26" s="7" t="inlineStr">
        <is>
          <t>Combines C5+C8+C10+H23+H33+series option sheet totals; applies (1-D4); if D18 nonblank adds C5*0.65; then adds H24 and ROUNDUP(...,0).</t>
        </is>
      </c>
      <c r="G26" s="8" t="inlineStr">
        <is>
          <t>VERIFIED</t>
        </is>
      </c>
    </row>
    <row r="27" ht="45" customHeight="1">
      <c r="A27" s="7" t="inlineStr">
        <is>
          <t>8</t>
        </is>
      </c>
      <c r="B27" s="7" t="inlineStr">
        <is>
          <t>Cost to List Price to Selling Price</t>
        </is>
      </c>
      <c r="C27" s="7" t="inlineStr">
        <is>
          <t>List price</t>
        </is>
      </c>
      <c r="D27" s="7" t="inlineStr">
        <is>
          <t>Data</t>
        </is>
      </c>
      <c r="E27" s="7" t="inlineStr">
        <is>
          <t>I13</t>
        </is>
      </c>
      <c r="F27" s="7">
        <f>D6/(1-D4)</f>
        <v/>
      </c>
      <c r="G27" s="8" t="inlineStr">
        <is>
          <t>VERIFIED</t>
        </is>
      </c>
    </row>
    <row r="28" ht="45" customHeight="1">
      <c r="A28" s="7" t="inlineStr">
        <is>
          <t>9</t>
        </is>
      </c>
      <c r="B28" s="7" t="inlineStr">
        <is>
          <t>Quote Presentation Logic</t>
        </is>
      </c>
      <c r="C28" s="7" t="inlineStr">
        <is>
          <t>Displayed list price</t>
        </is>
      </c>
      <c r="D28" s="7" t="inlineStr">
        <is>
          <t>Quote Form</t>
        </is>
      </c>
      <c r="E28" s="7" t="inlineStr">
        <is>
          <t>D11</t>
        </is>
      </c>
      <c r="F28" s="7">
        <f>IF(Data!B3="W",Data!I13*0.85,Data!I13)</f>
        <v/>
      </c>
      <c r="G28" s="8" t="inlineStr">
        <is>
          <t>VERIFIED</t>
        </is>
      </c>
    </row>
    <row r="29" ht="45" customHeight="1">
      <c r="A29" s="7" t="inlineStr">
        <is>
          <t>9</t>
        </is>
      </c>
      <c r="B29" s="7" t="inlineStr">
        <is>
          <t>Quote Presentation Logic</t>
        </is>
      </c>
      <c r="C29" s="7" t="inlineStr">
        <is>
          <t>Standard sell price</t>
        </is>
      </c>
      <c r="D29" s="7" t="inlineStr">
        <is>
          <t>Quote Form</t>
        </is>
      </c>
      <c r="E29" s="7" t="inlineStr">
        <is>
          <t>F11</t>
        </is>
      </c>
      <c r="F29" s="7">
        <f>D11*(1-E11)</f>
        <v/>
      </c>
      <c r="G29" s="8" t="inlineStr">
        <is>
          <t>VERIFIED</t>
        </is>
      </c>
    </row>
    <row r="30" ht="45" customHeight="1">
      <c r="A30" s="7" t="inlineStr">
        <is>
          <t>9</t>
        </is>
      </c>
      <c r="B30" s="7" t="inlineStr">
        <is>
          <t>Quote Presentation Logic</t>
        </is>
      </c>
      <c r="C30" s="7" t="inlineStr">
        <is>
          <t>Expedited price</t>
        </is>
      </c>
      <c r="D30" s="7" t="inlineStr">
        <is>
          <t>Quote Form</t>
        </is>
      </c>
      <c r="E30" s="7" t="inlineStr">
        <is>
          <t>F12</t>
        </is>
      </c>
      <c r="F30" s="7">
        <f>IF(F11="","",IF(F11&gt;1000,F11*1.3,F11*1.4))</f>
        <v/>
      </c>
      <c r="G30" s="8" t="inlineStr">
        <is>
          <t>VERIFIED</t>
        </is>
      </c>
    </row>
    <row r="31" ht="45" customHeight="1">
      <c r="A31" s="7" t="inlineStr">
        <is>
          <t>9</t>
        </is>
      </c>
      <c r="B31" s="7" t="inlineStr">
        <is>
          <t>Quote Presentation Logic</t>
        </is>
      </c>
      <c r="C31" s="7" t="inlineStr">
        <is>
          <t>Emergency price</t>
        </is>
      </c>
      <c r="D31" s="7" t="inlineStr">
        <is>
          <t>Quote Form</t>
        </is>
      </c>
      <c r="E31" s="7" t="inlineStr">
        <is>
          <t>F13</t>
        </is>
      </c>
      <c r="F31" s="7">
        <f>F12*1.25</f>
        <v/>
      </c>
      <c r="G31" s="8" t="inlineStr">
        <is>
          <t>VERIFIED</t>
        </is>
      </c>
    </row>
    <row r="32" ht="45" customHeight="1">
      <c r="A32" s="7" t="inlineStr">
        <is>
          <t>10</t>
        </is>
      </c>
      <c r="B32" s="7" t="inlineStr">
        <is>
          <t>VBA Workflow</t>
        </is>
      </c>
      <c r="C32" s="7" t="inlineStr">
        <is>
          <t>Quote button workflow</t>
        </is>
      </c>
      <c r="D32" s="7" t="inlineStr">
        <is>
          <t>OrderEntry VBA</t>
        </is>
      </c>
      <c r="E32" s="7" t="inlineStr">
        <is>
          <t>CommandButton2_Click</t>
        </is>
      </c>
      <c r="F32" s="7" t="inlineStr">
        <is>
          <t>On Quote, VBA copies/sorts option selections, transfers selected option lines to Quote Form, restores quote formulas, updates ShipVia helper data, then returns to Quote Form.</t>
        </is>
      </c>
      <c r="G32" s="8" t="inlineStr">
        <is>
          <t>VERIFIED; detailed workflow deferred to Section 10.</t>
        </is>
      </c>
    </row>
    <row r="33" ht="45" customHeight="1">
      <c r="A33" s="7" t="inlineStr">
        <is>
          <t>3</t>
        </is>
      </c>
      <c r="B33" s="7" t="inlineStr">
        <is>
          <t>Series Routing</t>
        </is>
      </c>
      <c r="C33" s="7" t="inlineStr">
        <is>
          <t>Section placeholder</t>
        </is>
      </c>
      <c r="D33" s="7" t="inlineStr"/>
      <c r="E33" s="7" t="inlineStr"/>
      <c r="F33" s="7" t="inlineStr"/>
      <c r="G33" s="7" t="inlineStr">
        <is>
          <t>PENDING</t>
        </is>
      </c>
    </row>
    <row r="34" ht="45" customHeight="1">
      <c r="A34" s="7" t="inlineStr">
        <is>
          <t>7</t>
        </is>
      </c>
      <c r="B34" s="7" t="inlineStr">
        <is>
          <t>Special-Order Pricing Rules</t>
        </is>
      </c>
      <c r="C34" s="7" t="inlineStr">
        <is>
          <t>Section placeholder</t>
        </is>
      </c>
      <c r="D34" s="7" t="inlineStr"/>
      <c r="E34" s="7" t="inlineStr"/>
      <c r="F34" s="7" t="inlineStr"/>
      <c r="G34" s="7" t="inlineStr">
        <is>
          <t>PENDING</t>
        </is>
      </c>
    </row>
    <row r="35" ht="45" customHeight="1">
      <c r="A35" s="10" t="inlineStr">
        <is>
          <t>2</t>
        </is>
      </c>
      <c r="B35" s="10" t="inlineStr">
        <is>
          <t>Model-Code Generation</t>
        </is>
      </c>
      <c r="C35" s="10" t="inlineStr">
        <is>
          <t>Authoritative model output</t>
        </is>
      </c>
      <c r="D35" s="10" t="inlineStr">
        <is>
          <t>Data</t>
        </is>
      </c>
      <c r="E35" s="10" t="inlineStr">
        <is>
          <t>A1</t>
        </is>
      </c>
      <c r="F35" s="10">
        <f>CONCATENATE(B3,B1,E5,B1,B4,C1,B8,C1,B6,B1,D15,B1,B7,B1,D2,B1,B10,B1,"S")</f>
        <v/>
      </c>
      <c r="G35" s="10" t="inlineStr">
        <is>
          <t>VERIFIED - central model-code constructor</t>
        </is>
      </c>
    </row>
    <row r="36" ht="45" customHeight="1">
      <c r="A36" s="10" t="inlineStr">
        <is>
          <t>2</t>
        </is>
      </c>
      <c r="B36" s="10" t="inlineStr">
        <is>
          <t>Model-Code Generation</t>
        </is>
      </c>
      <c r="C36" s="10" t="inlineStr">
        <is>
          <t>Series segment</t>
        </is>
      </c>
      <c r="D36" s="10" t="inlineStr">
        <is>
          <t>OrderEntry -&gt; Data</t>
        </is>
      </c>
      <c r="E36" s="10" t="inlineStr">
        <is>
          <t>Series -&gt; Data!B3</t>
        </is>
      </c>
      <c r="F36" s="10" t="inlineStr">
        <is>
          <t>Data!B3 is first segment of Data!A1.</t>
        </is>
      </c>
      <c r="G36" s="10" t="inlineStr">
        <is>
          <t>VERIFIED</t>
        </is>
      </c>
    </row>
    <row r="37" ht="45" customHeight="1">
      <c r="A37" s="10" t="inlineStr">
        <is>
          <t>2</t>
        </is>
      </c>
      <c r="B37" s="10" t="inlineStr">
        <is>
          <t>Model-Code Generation</t>
        </is>
      </c>
      <c r="C37" s="10" t="inlineStr">
        <is>
          <t>Mount segment</t>
        </is>
      </c>
      <c r="D37" s="10" t="inlineStr">
        <is>
          <t>OrderEntry -&gt; Data</t>
        </is>
      </c>
      <c r="E37" s="10" t="inlineStr">
        <is>
          <t>Mount -&gt; Data!B5 -&gt; Data!E5</t>
        </is>
      </c>
      <c r="F37" s="10" t="inlineStr">
        <is>
          <t>E5 uses B5 normally; when D18 is populated it becomes "DRE/" &amp; B5.</t>
        </is>
      </c>
      <c r="G37" s="10" t="inlineStr">
        <is>
          <t>VERIFIED</t>
        </is>
      </c>
    </row>
    <row r="38" ht="45" customHeight="1">
      <c r="A38" s="10" t="inlineStr">
        <is>
          <t>2</t>
        </is>
      </c>
      <c r="B38" s="10" t="inlineStr">
        <is>
          <t>Model-Code Generation</t>
        </is>
      </c>
      <c r="C38" s="10" t="inlineStr">
        <is>
          <t>Bore segment</t>
        </is>
      </c>
      <c r="D38" s="10" t="inlineStr">
        <is>
          <t>OrderEntry -&gt; Data</t>
        </is>
      </c>
      <c r="E38" s="10" t="inlineStr">
        <is>
          <t>Bore -&gt; Data!B4</t>
        </is>
      </c>
      <c r="F38" s="10" t="inlineStr">
        <is>
          <t>Inserted directly into A1.</t>
        </is>
      </c>
      <c r="G38" s="10" t="inlineStr">
        <is>
          <t>VERIFIED</t>
        </is>
      </c>
    </row>
    <row r="39" ht="45" customHeight="1">
      <c r="A39" s="10" t="inlineStr">
        <is>
          <t>2</t>
        </is>
      </c>
      <c r="B39" s="10" t="inlineStr">
        <is>
          <t>Model-Code Generation</t>
        </is>
      </c>
      <c r="C39" s="10" t="inlineStr">
        <is>
          <t>Stroke segment</t>
        </is>
      </c>
      <c r="D39" s="10" t="inlineStr">
        <is>
          <t>OrderEntry -&gt; Data</t>
        </is>
      </c>
      <c r="E39" s="10" t="inlineStr">
        <is>
          <t>Stroke -&gt; Data!B8</t>
        </is>
      </c>
      <c r="F39" s="10" t="inlineStr">
        <is>
          <t>Inserted directly into A1 between x separators.</t>
        </is>
      </c>
      <c r="G39" s="10" t="inlineStr">
        <is>
          <t>VERIFIED model dependency; Section 1 direct form control mapping still pending</t>
        </is>
      </c>
    </row>
    <row r="40" ht="45" customHeight="1">
      <c r="A40" s="10" t="inlineStr">
        <is>
          <t>2</t>
        </is>
      </c>
      <c r="B40" s="10" t="inlineStr">
        <is>
          <t>Model-Code Generation</t>
        </is>
      </c>
      <c r="C40" s="10" t="inlineStr">
        <is>
          <t>Rod segment</t>
        </is>
      </c>
      <c r="D40" s="10" t="inlineStr">
        <is>
          <t>OrderEntry -&gt; Data</t>
        </is>
      </c>
      <c r="E40" s="10" t="inlineStr">
        <is>
          <t>Rod -&gt; Data!B6</t>
        </is>
      </c>
      <c r="F40" s="10" t="inlineStr">
        <is>
          <t>Inserted directly into A1.</t>
        </is>
      </c>
      <c r="G40" s="10" t="inlineStr">
        <is>
          <t>VERIFIED</t>
        </is>
      </c>
    </row>
    <row r="41" ht="45" customHeight="1">
      <c r="A41" s="10" t="inlineStr">
        <is>
          <t>2</t>
        </is>
      </c>
      <c r="B41" s="10" t="inlineStr">
        <is>
          <t>Model-Code Generation</t>
        </is>
      </c>
      <c r="C41" s="10" t="inlineStr">
        <is>
          <t>Rod-style segment</t>
        </is>
      </c>
      <c r="D41" s="10" t="inlineStr">
        <is>
          <t>OrderEntry -&gt; Data</t>
        </is>
      </c>
      <c r="E41" s="10" t="inlineStr">
        <is>
          <t>Style -&gt; Data!D15</t>
        </is>
      </c>
      <c r="F41" s="10" t="inlineStr">
        <is>
          <t>Inserted directly into A1; D23 is description only.</t>
        </is>
      </c>
      <c r="G41" s="10" t="inlineStr">
        <is>
          <t>VERIFIED</t>
        </is>
      </c>
    </row>
    <row r="42" ht="45" customHeight="1">
      <c r="A42" s="10" t="inlineStr">
        <is>
          <t>2</t>
        </is>
      </c>
      <c r="B42" s="10" t="inlineStr">
        <is>
          <t>Model-Code Generation</t>
        </is>
      </c>
      <c r="C42" s="10" t="inlineStr">
        <is>
          <t>Cushion segment</t>
        </is>
      </c>
      <c r="D42" s="10" t="inlineStr">
        <is>
          <t>OrderEntry -&gt; Data</t>
        </is>
      </c>
      <c r="E42" s="10" t="inlineStr">
        <is>
          <t>Cushion -&gt; Data!B7</t>
        </is>
      </c>
      <c r="F42" s="10" t="inlineStr">
        <is>
          <t>Inserted directly into A1; D28 is description only.</t>
        </is>
      </c>
      <c r="G42" s="10" t="inlineStr">
        <is>
          <t>VERIFIED</t>
        </is>
      </c>
    </row>
    <row r="43" ht="45" customHeight="1">
      <c r="A43" s="10" t="inlineStr">
        <is>
          <t>2</t>
        </is>
      </c>
      <c r="B43" s="10" t="inlineStr">
        <is>
          <t>Model-Code Generation</t>
        </is>
      </c>
      <c r="C43" s="10" t="inlineStr">
        <is>
          <t>Ports segment</t>
        </is>
      </c>
      <c r="D43" s="10" t="inlineStr">
        <is>
          <t>OrderEntry -&gt; Data</t>
        </is>
      </c>
      <c r="E43" s="10" t="inlineStr">
        <is>
          <t>Ports -&gt; Data!D2</t>
        </is>
      </c>
      <c r="F43" s="10" t="inlineStr">
        <is>
          <t>Inserted directly into A1.</t>
        </is>
      </c>
      <c r="G43" s="10" t="inlineStr">
        <is>
          <t>VERIFIED</t>
        </is>
      </c>
    </row>
    <row r="44" ht="45" customHeight="1">
      <c r="A44" s="10" t="inlineStr">
        <is>
          <t>2</t>
        </is>
      </c>
      <c r="B44" s="10" t="inlineStr">
        <is>
          <t>Model-Code Generation</t>
        </is>
      </c>
      <c r="C44" s="10" t="inlineStr">
        <is>
          <t>Seal segment</t>
        </is>
      </c>
      <c r="D44" s="10" t="inlineStr">
        <is>
          <t>OrderEntry -&gt; Data</t>
        </is>
      </c>
      <c r="E44" s="10" t="inlineStr">
        <is>
          <t>Seal -&gt; Data!B10</t>
        </is>
      </c>
      <c r="F44" s="10" t="inlineStr">
        <is>
          <t>Inserted directly into A1; D30 is description only.</t>
        </is>
      </c>
      <c r="G44" s="10" t="inlineStr">
        <is>
          <t>VERIFIED</t>
        </is>
      </c>
    </row>
    <row r="45" ht="45" customHeight="1">
      <c r="A45" s="10" t="inlineStr">
        <is>
          <t>2</t>
        </is>
      </c>
      <c r="B45" s="10" t="inlineStr">
        <is>
          <t>Model-Code Generation</t>
        </is>
      </c>
      <c r="C45" s="10" t="inlineStr">
        <is>
          <t>Model separators</t>
        </is>
      </c>
      <c r="D45" s="10" t="inlineStr">
        <is>
          <t>Data</t>
        </is>
      </c>
      <c r="E45" s="10" t="inlineStr">
        <is>
          <t>B1 / C1</t>
        </is>
      </c>
      <c r="F45" s="10" t="inlineStr">
        <is>
          <t>B1="-"; C1="x".</t>
        </is>
      </c>
      <c r="G45" s="10" t="inlineStr">
        <is>
          <t>VERIFIED</t>
        </is>
      </c>
    </row>
    <row r="46" ht="45" customHeight="1">
      <c r="A46" s="10" t="inlineStr">
        <is>
          <t>2</t>
        </is>
      </c>
      <c r="B46" s="10" t="inlineStr">
        <is>
          <t>Model-Code Generation</t>
        </is>
      </c>
      <c r="C46" s="10" t="inlineStr">
        <is>
          <t>Fixed suffix</t>
        </is>
      </c>
      <c r="D46" s="10" t="inlineStr">
        <is>
          <t>Data</t>
        </is>
      </c>
      <c r="E46" s="10" t="inlineStr">
        <is>
          <t>A1 literal</t>
        </is>
      </c>
      <c r="F46" s="10" t="inlineStr">
        <is>
          <t>Model always appends "-S" through B1 then literal "S".</t>
        </is>
      </c>
      <c r="G46" s="10" t="inlineStr">
        <is>
          <t>VERIFIED</t>
        </is>
      </c>
    </row>
    <row r="47" ht="45" customHeight="1">
      <c r="A47" s="10" t="inlineStr">
        <is>
          <t>2</t>
        </is>
      </c>
      <c r="B47" s="10" t="inlineStr">
        <is>
          <t>Model-Code Generation</t>
        </is>
      </c>
      <c r="C47" s="10" t="inlineStr">
        <is>
          <t>Quote display</t>
        </is>
      </c>
      <c r="D47" s="10" t="inlineStr">
        <is>
          <t>Data -&gt; Quote Form</t>
        </is>
      </c>
      <c r="E47" s="10" t="inlineStr">
        <is>
          <t>Quote Form!B12 = Data!A1</t>
        </is>
      </c>
      <c r="F47" s="10" t="inlineStr">
        <is>
          <t>Quote form displays model string without another transformation.</t>
        </is>
      </c>
      <c r="G47" s="10" t="inlineStr">
        <is>
          <t>VERIFIED</t>
        </is>
      </c>
    </row>
    <row r="48" ht="45" customHeight="1">
      <c r="A48" s="10" t="inlineStr">
        <is>
          <t>2</t>
        </is>
      </c>
      <c r="B48" s="10" t="inlineStr">
        <is>
          <t>Model-Code Generation</t>
        </is>
      </c>
      <c r="C48" s="10" t="inlineStr">
        <is>
          <t>Readable model pattern</t>
        </is>
      </c>
      <c r="D48" s="10" t="inlineStr">
        <is>
          <t>Derived architecture</t>
        </is>
      </c>
      <c r="E48" s="10" t="inlineStr">
        <is>
          <t>Data!A1</t>
        </is>
      </c>
      <c r="F48" s="10" t="inlineStr">
        <is>
          <t>Series - Mount - Bore x Stroke x Rod - RodStyle - Cushion - Ports - Seal - S</t>
        </is>
      </c>
      <c r="G48" s="10" t="inlineStr">
        <is>
          <t>VERIFIED</t>
        </is>
      </c>
    </row>
    <row r="49" ht="45" customHeight="1">
      <c r="A49" s="11" t="inlineStr">
        <is>
          <t>3</t>
        </is>
      </c>
      <c r="B49" s="10" t="inlineStr">
        <is>
          <t>Series Routing</t>
        </is>
      </c>
      <c r="C49" s="10" t="inlineStr">
        <is>
          <t>Master series-routing input</t>
        </is>
      </c>
      <c r="D49" s="10" t="inlineStr">
        <is>
          <t>Data</t>
        </is>
      </c>
      <c r="E49" s="10" t="inlineStr">
        <is>
          <t>B3</t>
        </is>
      </c>
      <c r="F49" s="10" t="inlineStr">
        <is>
          <t>OrderEntry Series selection is stored here. Calculation sheets use Data!B3 as the routing key.</t>
        </is>
      </c>
      <c r="G49" s="10" t="inlineStr">
        <is>
          <t>VERIFIED</t>
        </is>
      </c>
    </row>
    <row r="50" ht="45" customHeight="1">
      <c r="A50" s="11" t="inlineStr">
        <is>
          <t>3</t>
        </is>
      </c>
      <c r="B50" s="10" t="inlineStr">
        <is>
          <t>Series Routing</t>
        </is>
      </c>
      <c r="C50" s="10" t="inlineStr">
        <is>
          <t>Routing architecture</t>
        </is>
      </c>
      <c r="D50" s="10" t="inlineStr">
        <is>
          <t>Workbook formulas</t>
        </is>
      </c>
      <c r="E50" s="10" t="inlineStr">
        <is>
          <t>Series calculation sheets</t>
        </is>
      </c>
      <c r="F50" s="10" t="inlineStr">
        <is>
          <t>No VBA worksheet switch is required. Candidate formulas test Data!B3 and return values only for matching series; nonmatching routes return blank/zero.</t>
        </is>
      </c>
      <c r="G50" s="10" t="inlineStr">
        <is>
          <t>VERIFIED</t>
        </is>
      </c>
    </row>
    <row r="51" ht="45" customHeight="1">
      <c r="A51" s="11" t="inlineStr">
        <is>
          <t>3</t>
        </is>
      </c>
      <c r="B51" s="10" t="inlineStr">
        <is>
          <t>Series Routing</t>
        </is>
      </c>
      <c r="C51" s="10" t="inlineStr">
        <is>
          <t>H-family primary route</t>
        </is>
      </c>
      <c r="D51" s="10" t="inlineStr">
        <is>
          <t>H</t>
        </is>
      </c>
      <c r="E51" s="10" t="inlineStr">
        <is>
          <t>Q7:Q51 -&gt; Q52</t>
        </is>
      </c>
      <c r="F51" s="10" t="inlineStr">
        <is>
          <t>Example Q7: IF(OR(Data!B3="H",Data!B3="HM",Data!B3="W"), then match Bore Data!B4 and Rod Data!B6). Q52=SUM(Q7:Q51).</t>
        </is>
      </c>
      <c r="G51" s="10" t="inlineStr">
        <is>
          <t>VERIFIED</t>
        </is>
      </c>
    </row>
    <row r="52" ht="45" customHeight="1">
      <c r="A52" s="11" t="inlineStr">
        <is>
          <t>3</t>
        </is>
      </c>
      <c r="B52" s="10" t="inlineStr">
        <is>
          <t>Series Routing</t>
        </is>
      </c>
      <c r="C52" s="10" t="inlineStr">
        <is>
          <t>A/LH primary route</t>
        </is>
      </c>
      <c r="D52" s="10" t="inlineStr">
        <is>
          <t>A</t>
        </is>
      </c>
      <c r="E52" s="10" t="inlineStr">
        <is>
          <t>Q6:Q52 -&gt; Q53</t>
        </is>
      </c>
      <c r="F52" s="10" t="inlineStr">
        <is>
          <t>Q-row formulas gate on Data!B3="A" or "LH", then match Bore and Rod. Q53=SUM(Q6:Q52).</t>
        </is>
      </c>
      <c r="G52" s="10" t="inlineStr">
        <is>
          <t>VERIFIED</t>
        </is>
      </c>
    </row>
    <row r="53" ht="45" customHeight="1">
      <c r="A53" s="11" t="inlineStr">
        <is>
          <t>3</t>
        </is>
      </c>
      <c r="B53" s="10" t="inlineStr">
        <is>
          <t>Series Routing</t>
        </is>
      </c>
      <c r="C53" s="10" t="inlineStr">
        <is>
          <t>MH primary route</t>
        </is>
      </c>
      <c r="D53" s="10" t="inlineStr">
        <is>
          <t>MH</t>
        </is>
      </c>
      <c r="E53" s="10" t="inlineStr">
        <is>
          <t>O7:O51 -&gt; O52</t>
        </is>
      </c>
      <c r="F53" s="10" t="inlineStr">
        <is>
          <t>O-row formulas gate specifically on Data!B3="MH", then match Bore and Rod.</t>
        </is>
      </c>
      <c r="G53" s="10" t="inlineStr">
        <is>
          <t>VERIFIED</t>
        </is>
      </c>
    </row>
    <row r="54" ht="45" customHeight="1">
      <c r="A54" s="11" t="inlineStr">
        <is>
          <t>3</t>
        </is>
      </c>
      <c r="B54" s="10" t="inlineStr">
        <is>
          <t>Series Routing</t>
        </is>
      </c>
      <c r="C54" s="10" t="inlineStr">
        <is>
          <t>IMH primary route</t>
        </is>
      </c>
      <c r="D54" s="10" t="inlineStr">
        <is>
          <t>IMH</t>
        </is>
      </c>
      <c r="E54" s="10" t="inlineStr">
        <is>
          <t>O7:O26 -&gt; O27</t>
        </is>
      </c>
      <c r="F54" s="10" t="inlineStr">
        <is>
          <t>O-row formulas gate specifically on Data!B3="IMH", then match Bore and Rod.</t>
        </is>
      </c>
      <c r="G54" s="10" t="inlineStr">
        <is>
          <t>VERIFIED</t>
        </is>
      </c>
    </row>
    <row r="55" ht="45" customHeight="1">
      <c r="A55" s="11" t="inlineStr">
        <is>
          <t>3</t>
        </is>
      </c>
      <c r="B55" s="10" t="inlineStr">
        <is>
          <t>Series Routing</t>
        </is>
      </c>
      <c r="C55" s="10" t="inlineStr">
        <is>
          <t>IH/IHM primary route</t>
        </is>
      </c>
      <c r="D55" s="10" t="inlineStr">
        <is>
          <t>IH</t>
        </is>
      </c>
      <c r="E55" s="10" t="inlineStr">
        <is>
          <t>Q7:Q35 -&gt; Q36</t>
        </is>
      </c>
      <c r="F55" s="10" t="inlineStr">
        <is>
          <t>Q-row formulas gate on Data!B3="IH" or "IHM", then match Bore and Rod.</t>
        </is>
      </c>
      <c r="G55" s="10" t="inlineStr">
        <is>
          <t>VERIFIED</t>
        </is>
      </c>
    </row>
    <row r="56" ht="45" customHeight="1">
      <c r="A56" s="11" t="inlineStr">
        <is>
          <t>3</t>
        </is>
      </c>
      <c r="B56" s="10" t="inlineStr">
        <is>
          <t>Series Routing</t>
        </is>
      </c>
      <c r="C56" s="10" t="inlineStr">
        <is>
          <t>VA primary route</t>
        </is>
      </c>
      <c r="D56" s="10" t="inlineStr">
        <is>
          <t>VA</t>
        </is>
      </c>
      <c r="E56" s="10" t="inlineStr">
        <is>
          <t>J/K/L/M rows; K20 used by D6</t>
        </is>
      </c>
      <c r="F56" s="10" t="inlineStr">
        <is>
          <t>VA calculations explicitly require Data!B3="VA". VA!K20 is added in Data!D6.</t>
        </is>
      </c>
      <c r="G56" s="10" t="inlineStr">
        <is>
          <t>VERIFIED</t>
        </is>
      </c>
    </row>
    <row r="57" ht="45" customHeight="1">
      <c r="A57" s="11" t="inlineStr">
        <is>
          <t>3</t>
        </is>
      </c>
      <c r="B57" s="10" t="inlineStr">
        <is>
          <t>Series Routing</t>
        </is>
      </c>
      <c r="C57" s="10" t="inlineStr">
        <is>
          <t>Primary base totals converge</t>
        </is>
      </c>
      <c r="D57" s="10" t="inlineStr">
        <is>
          <t>Data</t>
        </is>
      </c>
      <c r="E57" s="10" t="inlineStr">
        <is>
          <t>C5</t>
        </is>
      </c>
      <c r="F57" s="10" t="inlineStr">
        <is>
          <t>C5=H!Q52+A!Q53+MH!O52+PH!J34+IH!Q36+IMH!O27. Inactive routed sheets contribute blank/zero.</t>
        </is>
      </c>
      <c r="G57" s="10" t="inlineStr">
        <is>
          <t>VERIFIED; PH reference will be revisited in option/special-rule sections.</t>
        </is>
      </c>
    </row>
    <row r="58" ht="45" customHeight="1">
      <c r="A58" s="11" t="inlineStr">
        <is>
          <t>3</t>
        </is>
      </c>
      <c r="B58" s="10" t="inlineStr">
        <is>
          <t>Series Routing</t>
        </is>
      </c>
      <c r="C58" s="10" t="inlineStr">
        <is>
          <t>Length/stroke totals converge</t>
        </is>
      </c>
      <c r="D58" s="10" t="inlineStr">
        <is>
          <t>Data</t>
        </is>
      </c>
      <c r="E58" s="10" t="inlineStr">
        <is>
          <t>C8</t>
        </is>
      </c>
      <c r="F58" s="10" t="inlineStr">
        <is>
          <t>C8=H!W52+A!W53+MH!S52+PH!N34+IH!W36+IMH!S27. W/S outputs depend on the corresponding routed base row being active.</t>
        </is>
      </c>
      <c r="G58" s="10" t="inlineStr">
        <is>
          <t>VERIFIED; detailed stroke logic deferred to Section 5.</t>
        </is>
      </c>
    </row>
    <row r="59" ht="45" customHeight="1">
      <c r="A59" s="11" t="inlineStr">
        <is>
          <t>3</t>
        </is>
      </c>
      <c r="B59" s="10" t="inlineStr">
        <is>
          <t>Series Routing</t>
        </is>
      </c>
      <c r="C59" s="10" t="inlineStr">
        <is>
          <t>H-family shared add-on route</t>
        </is>
      </c>
      <c r="D59" s="10" t="inlineStr">
        <is>
          <t>H2 / H3 / H4</t>
        </is>
      </c>
      <c r="E59" s="10" t="inlineStr">
        <is>
          <t>H2!R53; H3!T53; H4!R53</t>
        </is>
      </c>
      <c r="F59" s="10" t="inlineStr">
        <is>
          <t>Numbered H sheets gate on H/MH/HM/W and calculate shared options/adders.</t>
        </is>
      </c>
      <c r="G59" s="10" t="inlineStr">
        <is>
          <t>VERIFIED</t>
        </is>
      </c>
    </row>
    <row r="60" ht="45" customHeight="1">
      <c r="A60" s="11" t="inlineStr">
        <is>
          <t>3</t>
        </is>
      </c>
      <c r="B60" s="10" t="inlineStr">
        <is>
          <t>Series Routing</t>
        </is>
      </c>
      <c r="C60" s="10" t="inlineStr">
        <is>
          <t>A-family shared add-on route</t>
        </is>
      </c>
      <c r="D60" s="10" t="inlineStr">
        <is>
          <t>A2 / A3 / A4</t>
        </is>
      </c>
      <c r="E60" s="10" t="inlineStr">
        <is>
          <t>A2!O55; A3!Q55; A4 total area</t>
        </is>
      </c>
      <c r="F60" s="10" t="inlineStr">
        <is>
          <t>Numbered A sheets gate on A/LH and calculate shared options/adders.</t>
        </is>
      </c>
      <c r="G60" s="10" t="inlineStr">
        <is>
          <t>VERIFIED</t>
        </is>
      </c>
    </row>
    <row r="61" ht="45" customHeight="1">
      <c r="A61" s="11" t="inlineStr">
        <is>
          <t>3</t>
        </is>
      </c>
      <c r="B61" s="10" t="inlineStr">
        <is>
          <t>Series Routing</t>
        </is>
      </c>
      <c r="C61" s="10" t="inlineStr">
        <is>
          <t>IH-family shared add-on route</t>
        </is>
      </c>
      <c r="D61" s="10" t="inlineStr">
        <is>
          <t>IH2 / IH3 / IH4</t>
        </is>
      </c>
      <c r="E61" s="10" t="inlineStr">
        <is>
          <t>IH2!R37; IH3!U37; IH4!S37</t>
        </is>
      </c>
      <c r="F61" s="10" t="inlineStr">
        <is>
          <t>Numbered IH sheets gate on IH/IHM/IMH and calculate shared options/adders.</t>
        </is>
      </c>
      <c r="G61" s="10" t="inlineStr">
        <is>
          <t>VERIFIED</t>
        </is>
      </c>
    </row>
    <row r="62" ht="45" customHeight="1">
      <c r="A62" s="11" t="inlineStr">
        <is>
          <t>3</t>
        </is>
      </c>
      <c r="B62" s="10" t="inlineStr">
        <is>
          <t>Series Routing</t>
        </is>
      </c>
      <c r="C62" s="10" t="inlineStr">
        <is>
          <t>Position-sensing/modification route</t>
        </is>
      </c>
      <c r="D62" s="10" t="inlineStr">
        <is>
          <t>PH</t>
        </is>
      </c>
      <c r="E62" s="10" t="inlineStr">
        <is>
          <t>A33 / L33 and option tables</t>
        </is>
      </c>
      <c r="F62" s="10" t="inlineStr">
        <is>
          <t>PH is a cross-series modification sheet, not a standard primary series sheet. Imperial sensor schedule excludes IH/IHM; metric-side aggregation is used for IH/IMH/IHM.</t>
        </is>
      </c>
      <c r="G62" s="10" t="inlineStr">
        <is>
          <t>VERIFIED role; final D6 interaction to be traced later.</t>
        </is>
      </c>
    </row>
    <row r="63" ht="45" customHeight="1">
      <c r="A63" s="11" t="inlineStr">
        <is>
          <t>3</t>
        </is>
      </c>
      <c r="B63" s="10" t="inlineStr">
        <is>
          <t>Series Routing</t>
        </is>
      </c>
      <c r="C63" s="10" t="inlineStr">
        <is>
          <t>Migration design rule</t>
        </is>
      </c>
      <c r="D63" s="10" t="inlineStr">
        <is>
          <t>Future HTML backend</t>
        </is>
      </c>
      <c r="E63" s="10" t="inlineStr">
        <is>
          <t>Series router</t>
        </is>
      </c>
      <c r="F63" s="10" t="inlineStr">
        <is>
          <t>Implement explicit primary calculator selection by series, then add shared option calculators. Avoid reproducing the workbook pattern of calculating every sheet.</t>
        </is>
      </c>
      <c r="G63" s="10" t="inlineStr">
        <is>
          <t>DESIGN IMPLICATION from verified routing.</t>
        </is>
      </c>
    </row>
    <row r="64">
      <c r="A64" s="12" t="inlineStr">
        <is>
          <t>4</t>
        </is>
      </c>
      <c r="B64" s="6" t="inlineStr">
        <is>
          <t>Base-Cylinder Price Table / Base Amount</t>
        </is>
      </c>
      <c r="C64" s="6" t="inlineStr">
        <is>
          <t>Base-price convergence</t>
        </is>
      </c>
      <c r="D64" s="6" t="inlineStr">
        <is>
          <t>Data</t>
        </is>
      </c>
      <c r="E64" s="6" t="inlineStr">
        <is>
          <t>C5</t>
        </is>
      </c>
      <c r="F64" s="6">
        <f>H!Q52+A!Q53+MH!O52+PH!J34+IH!Q36+IMH!O27</f>
        <v/>
      </c>
      <c r="G64" s="6" t="inlineStr">
        <is>
          <t>VERIFIED; primary base-price convergence. PH!J34 is blank in this workbook.</t>
        </is>
      </c>
    </row>
    <row r="65">
      <c r="A65" s="12" t="inlineStr">
        <is>
          <t>4</t>
        </is>
      </c>
      <c r="B65" s="6" t="inlineStr">
        <is>
          <t>Base-Cylinder Price Table / Base Amount</t>
        </is>
      </c>
      <c r="C65" s="6" t="inlineStr">
        <is>
          <t>H-family total</t>
        </is>
      </c>
      <c r="D65" s="6" t="inlineStr">
        <is>
          <t>H</t>
        </is>
      </c>
      <c r="E65" s="6" t="inlineStr">
        <is>
          <t>Q52</t>
        </is>
      </c>
      <c r="F65" s="6">
        <f>SUM(Q7:Q51)</f>
        <v/>
      </c>
      <c r="G65" s="6" t="inlineStr">
        <is>
          <t>VERIFIED; H/HM/W base-price total.</t>
        </is>
      </c>
    </row>
    <row r="66">
      <c r="A66" s="12" t="inlineStr">
        <is>
          <t>4</t>
        </is>
      </c>
      <c r="B66" s="6" t="inlineStr">
        <is>
          <t>Base-Cylinder Price Table / Base Amount</t>
        </is>
      </c>
      <c r="C66" s="6" t="inlineStr">
        <is>
          <t>H row match</t>
        </is>
      </c>
      <c r="D66" s="6" t="inlineStr">
        <is>
          <t>H</t>
        </is>
      </c>
      <c r="E66" s="6" t="inlineStr">
        <is>
          <t>Q7:Q51</t>
        </is>
      </c>
      <c r="F66" s="6" t="inlineStr">
        <is>
          <t>Series H/HM/W + Bore M=row Data!B4 + Rod N=row Data!B6; returns SUM(R:V).</t>
        </is>
      </c>
      <c r="G66" s="6" t="inlineStr">
        <is>
          <t>VERIFIED</t>
        </is>
      </c>
    </row>
    <row r="67">
      <c r="A67" s="12" t="inlineStr">
        <is>
          <t>4</t>
        </is>
      </c>
      <c r="B67" s="6" t="inlineStr">
        <is>
          <t>Base-Cylinder Price Table / Base Amount</t>
        </is>
      </c>
      <c r="C67" s="6" t="inlineStr">
        <is>
          <t>H mount bucket 1</t>
        </is>
      </c>
      <c r="D67" s="6" t="inlineStr">
        <is>
          <t>H</t>
        </is>
      </c>
      <c r="E67" s="6" t="inlineStr">
        <is>
          <t>E7:E51 -&gt; R7:R51</t>
        </is>
      </c>
      <c r="F67" s="6" t="inlineStr">
        <is>
          <t>MX0/MX1/MX2/MX3 selected by Data!B5.</t>
        </is>
      </c>
      <c r="G67" s="6" t="inlineStr">
        <is>
          <t>VERIFIED</t>
        </is>
      </c>
    </row>
    <row r="68">
      <c r="A68" s="12" t="inlineStr">
        <is>
          <t>4</t>
        </is>
      </c>
      <c r="B68" s="6" t="inlineStr">
        <is>
          <t>Base-Cylinder Price Table / Base Amount</t>
        </is>
      </c>
      <c r="C68" s="6" t="inlineStr">
        <is>
          <t>H mount bucket 2</t>
        </is>
      </c>
      <c r="D68" s="6" t="inlineStr">
        <is>
          <t>H</t>
        </is>
      </c>
      <c r="E68" s="6" t="inlineStr">
        <is>
          <t>F7:F51 -&gt; S7:S51</t>
        </is>
      </c>
      <c r="F68" s="6" t="inlineStr">
        <is>
          <t>MF1/MF2/MS4 selected by Data!B5.</t>
        </is>
      </c>
      <c r="G68" s="6" t="inlineStr">
        <is>
          <t>VERIFIED</t>
        </is>
      </c>
    </row>
    <row r="69">
      <c r="A69" s="12" t="inlineStr">
        <is>
          <t>4</t>
        </is>
      </c>
      <c r="B69" s="6" t="inlineStr">
        <is>
          <t>Base-Cylinder Price Table / Base Amount</t>
        </is>
      </c>
      <c r="C69" s="6" t="inlineStr">
        <is>
          <t>H mount bucket 3</t>
        </is>
      </c>
      <c r="D69" s="6" t="inlineStr">
        <is>
          <t>H</t>
        </is>
      </c>
      <c r="E69" s="6" t="inlineStr">
        <is>
          <t>G7:G51 -&gt; T7:T51</t>
        </is>
      </c>
      <c r="F69" s="6" t="inlineStr">
        <is>
          <t>MP1/MP3/MT1/MT2/MF5/MF6/MS2/ME5/ME6.</t>
        </is>
      </c>
      <c r="G69" s="6" t="inlineStr">
        <is>
          <t>VERIFIED</t>
        </is>
      </c>
    </row>
    <row r="70">
      <c r="A70" s="12" t="inlineStr">
        <is>
          <t>4</t>
        </is>
      </c>
      <c r="B70" s="6" t="inlineStr">
        <is>
          <t>Base-Cylinder Price Table / Base Amount</t>
        </is>
      </c>
      <c r="C70" s="6" t="inlineStr">
        <is>
          <t>H mount bucket 4</t>
        </is>
      </c>
      <c r="D70" s="6" t="inlineStr">
        <is>
          <t>H</t>
        </is>
      </c>
      <c r="E70" s="6" t="inlineStr">
        <is>
          <t>H7:H51 -&gt; U7:U51</t>
        </is>
      </c>
      <c r="F70" s="6" t="inlineStr">
        <is>
          <t>MS3/ME3/ME4/MP2/MT4/MPU3/MS7.</t>
        </is>
      </c>
      <c r="G70" s="6" t="inlineStr">
        <is>
          <t>VERIFIED</t>
        </is>
      </c>
    </row>
    <row r="71">
      <c r="A71" s="12" t="inlineStr">
        <is>
          <t>4</t>
        </is>
      </c>
      <c r="B71" s="6" t="inlineStr">
        <is>
          <t>Base-Cylinder Price Table / Base Amount</t>
        </is>
      </c>
      <c r="C71" s="6" t="inlineStr">
        <is>
          <t>A-family total</t>
        </is>
      </c>
      <c r="D71" s="6" t="inlineStr">
        <is>
          <t>A</t>
        </is>
      </c>
      <c r="E71" s="6" t="inlineStr">
        <is>
          <t>Q53</t>
        </is>
      </c>
      <c r="F71" s="6">
        <f>SUM(Q6:Q52)</f>
        <v/>
      </c>
      <c r="G71" s="6" t="inlineStr">
        <is>
          <t>VERIFIED; A/LH base-price total.</t>
        </is>
      </c>
    </row>
    <row r="72">
      <c r="A72" s="12" t="inlineStr">
        <is>
          <t>4</t>
        </is>
      </c>
      <c r="B72" s="6" t="inlineStr">
        <is>
          <t>Base-Cylinder Price Table / Base Amount</t>
        </is>
      </c>
      <c r="C72" s="6" t="inlineStr">
        <is>
          <t>A row match</t>
        </is>
      </c>
      <c r="D72" s="6" t="inlineStr">
        <is>
          <t>A</t>
        </is>
      </c>
      <c r="E72" s="6" t="inlineStr">
        <is>
          <t>Q6:Q52</t>
        </is>
      </c>
      <c r="F72" s="6" t="inlineStr">
        <is>
          <t>Series A/LH + Bore M=row Data!B4 + Rod N=row Data!B6; returns SUM(R:V).</t>
        </is>
      </c>
      <c r="G72" s="6" t="inlineStr">
        <is>
          <t>VERIFIED</t>
        </is>
      </c>
    </row>
    <row r="73">
      <c r="A73" s="12" t="inlineStr">
        <is>
          <t>4</t>
        </is>
      </c>
      <c r="B73" s="6" t="inlineStr">
        <is>
          <t>Base-Cylinder Price Table / Base Amount</t>
        </is>
      </c>
      <c r="C73" s="6" t="inlineStr">
        <is>
          <t>A mount buckets</t>
        </is>
      </c>
      <c r="D73" s="6" t="inlineStr">
        <is>
          <t>A</t>
        </is>
      </c>
      <c r="E73" s="6" t="inlineStr">
        <is>
          <t>E:H -&gt; R:U</t>
        </is>
      </c>
      <c r="F73" s="6" t="inlineStr">
        <is>
          <t>Four stored price buckets selected by Data!B5; mount membership differs slightly from H.</t>
        </is>
      </c>
      <c r="G73" s="6" t="inlineStr">
        <is>
          <t>VERIFIED</t>
        </is>
      </c>
    </row>
    <row r="74">
      <c r="A74" s="12" t="inlineStr">
        <is>
          <t>4</t>
        </is>
      </c>
      <c r="B74" s="6" t="inlineStr">
        <is>
          <t>Base-Cylinder Price Table / Base Amount</t>
        </is>
      </c>
      <c r="C74" s="6" t="inlineStr">
        <is>
          <t>MH total</t>
        </is>
      </c>
      <c r="D74" s="6" t="inlineStr">
        <is>
          <t>MH</t>
        </is>
      </c>
      <c r="E74" s="6" t="inlineStr">
        <is>
          <t>O52</t>
        </is>
      </c>
      <c r="F74" s="6">
        <f>SUM(O7:O51)</f>
        <v/>
      </c>
      <c r="G74" s="6" t="inlineStr">
        <is>
          <t>VERIFIED; MH base-price total.</t>
        </is>
      </c>
    </row>
    <row r="75">
      <c r="A75" s="12" t="inlineStr">
        <is>
          <t>4</t>
        </is>
      </c>
      <c r="B75" s="6" t="inlineStr">
        <is>
          <t>Base-Cylinder Price Table / Base Amount</t>
        </is>
      </c>
      <c r="C75" s="6" t="inlineStr">
        <is>
          <t>MH row match</t>
        </is>
      </c>
      <c r="D75" s="6" t="inlineStr">
        <is>
          <t>MH</t>
        </is>
      </c>
      <c r="E75" s="6" t="inlineStr">
        <is>
          <t>O7:O51</t>
        </is>
      </c>
      <c r="F75" s="6" t="inlineStr">
        <is>
          <t>Series MH + Bore K=row Data!B4 + Rod L=row Data!B6; returns SUM(P:R).</t>
        </is>
      </c>
      <c r="G75" s="6" t="inlineStr">
        <is>
          <t>VERIFIED</t>
        </is>
      </c>
    </row>
    <row r="76">
      <c r="A76" s="12" t="inlineStr">
        <is>
          <t>4</t>
        </is>
      </c>
      <c r="B76" s="6" t="inlineStr">
        <is>
          <t>Base-Cylinder Price Table / Base Amount</t>
        </is>
      </c>
      <c r="C76" s="6" t="inlineStr">
        <is>
          <t>MH mount bucket E</t>
        </is>
      </c>
      <c r="D76" s="6" t="inlineStr">
        <is>
          <t>MH</t>
        </is>
      </c>
      <c r="E76" s="6" t="inlineStr">
        <is>
          <t>E7:E51 -&gt; P7:P51</t>
        </is>
      </c>
      <c r="F76" s="6" t="inlineStr">
        <is>
          <t>MF1/MF2/MF5/MF6/MS3/MP1/MP3/MS2/ME5/ME6.</t>
        </is>
      </c>
      <c r="G76" s="6" t="inlineStr">
        <is>
          <t>VERIFIED</t>
        </is>
      </c>
    </row>
    <row r="77">
      <c r="A77" s="12" t="inlineStr">
        <is>
          <t>4</t>
        </is>
      </c>
      <c r="B77" s="6" t="inlineStr">
        <is>
          <t>Base-Cylinder Price Table / Base Amount</t>
        </is>
      </c>
      <c r="C77" s="6" t="inlineStr">
        <is>
          <t>MH mount bucket F</t>
        </is>
      </c>
      <c r="D77" s="6" t="inlineStr">
        <is>
          <t>MH</t>
        </is>
      </c>
      <c r="E77" s="6" t="inlineStr">
        <is>
          <t>F7:F51 -&gt; Q7:Q51</t>
        </is>
      </c>
      <c r="F77" s="6" t="inlineStr">
        <is>
          <t>MT4/MPU3/MS7/MT1/MT2/ME3/ME4.</t>
        </is>
      </c>
      <c r="G77" s="6" t="inlineStr">
        <is>
          <t>VERIFIED</t>
        </is>
      </c>
    </row>
    <row r="78">
      <c r="A78" s="12" t="inlineStr">
        <is>
          <t>4</t>
        </is>
      </c>
      <c r="B78" s="6" t="inlineStr">
        <is>
          <t>Base-Cylinder Price Table / Base Amount</t>
        </is>
      </c>
      <c r="C78" s="6" t="inlineStr">
        <is>
          <t>IH/IHM total</t>
        </is>
      </c>
      <c r="D78" s="6" t="inlineStr">
        <is>
          <t>IH</t>
        </is>
      </c>
      <c r="E78" s="6" t="inlineStr">
        <is>
          <t>Q36</t>
        </is>
      </c>
      <c r="F78" s="6">
        <f>SUM(Q7:Q35)</f>
        <v/>
      </c>
      <c r="G78" s="6" t="inlineStr">
        <is>
          <t>VERIFIED; metric IH/IHM base-price total.</t>
        </is>
      </c>
    </row>
    <row r="79">
      <c r="A79" s="12" t="inlineStr">
        <is>
          <t>4</t>
        </is>
      </c>
      <c r="B79" s="6" t="inlineStr">
        <is>
          <t>Base-Cylinder Price Table / Base Amount</t>
        </is>
      </c>
      <c r="C79" s="6" t="inlineStr">
        <is>
          <t>IH row match and mount buckets</t>
        </is>
      </c>
      <c r="D79" s="6" t="inlineStr">
        <is>
          <t>IH</t>
        </is>
      </c>
      <c r="E79" s="6" t="inlineStr">
        <is>
          <t>Q7:Q35; E:H -&gt; R:U</t>
        </is>
      </c>
      <c r="F79" s="6" t="inlineStr">
        <is>
          <t>Same four-bucket structure as H, using metric bore/rod values.</t>
        </is>
      </c>
      <c r="G79" s="6" t="inlineStr">
        <is>
          <t>VERIFIED</t>
        </is>
      </c>
    </row>
    <row r="80">
      <c r="A80" s="12" t="inlineStr">
        <is>
          <t>4</t>
        </is>
      </c>
      <c r="B80" s="6" t="inlineStr">
        <is>
          <t>Base-Cylinder Price Table / Base Amount</t>
        </is>
      </c>
      <c r="C80" s="6" t="inlineStr">
        <is>
          <t>IMH total</t>
        </is>
      </c>
      <c r="D80" s="6" t="inlineStr">
        <is>
          <t>IMH</t>
        </is>
      </c>
      <c r="E80" s="6" t="inlineStr">
        <is>
          <t>O27</t>
        </is>
      </c>
      <c r="F80" s="6">
        <f>SUM(O7:O26)</f>
        <v/>
      </c>
      <c r="G80" s="6" t="inlineStr">
        <is>
          <t>VERIFIED; metric IMH base-price total.</t>
        </is>
      </c>
    </row>
    <row r="81">
      <c r="A81" s="12" t="inlineStr">
        <is>
          <t>4</t>
        </is>
      </c>
      <c r="B81" s="6" t="inlineStr">
        <is>
          <t>Base-Cylinder Price Table / Base Amount</t>
        </is>
      </c>
      <c r="C81" s="6" t="inlineStr">
        <is>
          <t>IMH row match and mount buckets</t>
        </is>
      </c>
      <c r="D81" s="6" t="inlineStr">
        <is>
          <t>IMH</t>
        </is>
      </c>
      <c r="E81" s="6" t="inlineStr">
        <is>
          <t>O7:O26; E:F -&gt; P:Q</t>
        </is>
      </c>
      <c r="F81" s="6" t="inlineStr">
        <is>
          <t>Same two-bucket structure as MH, using metric bore/rod values.</t>
        </is>
      </c>
      <c r="G81" s="6" t="inlineStr">
        <is>
          <t>VERIFIED</t>
        </is>
      </c>
    </row>
    <row r="82">
      <c r="A82" s="12" t="inlineStr">
        <is>
          <t>4</t>
        </is>
      </c>
      <c r="B82" s="6" t="inlineStr">
        <is>
          <t>Base-Cylinder Price Table / Base Amount</t>
        </is>
      </c>
      <c r="C82" s="6" t="inlineStr">
        <is>
          <t>PH reference inside C5</t>
        </is>
      </c>
      <c r="D82" s="6" t="inlineStr">
        <is>
          <t>PH</t>
        </is>
      </c>
      <c r="E82" s="6" t="inlineStr">
        <is>
          <t>J34</t>
        </is>
      </c>
      <c r="F82" s="6" t="inlineStr">
        <is>
          <t>Blank cell; contributes zero to Data!C5 in this workbook.</t>
        </is>
      </c>
      <c r="G82" s="6" t="inlineStr">
        <is>
          <t>VERIFIED; position sensing is added elsewhere, notably PH!A33 in Data!D6.</t>
        </is>
      </c>
    </row>
    <row r="83">
      <c r="A83" s="12" t="inlineStr">
        <is>
          <t>4</t>
        </is>
      </c>
      <c r="B83" s="6" t="inlineStr">
        <is>
          <t>Base-Cylinder Price Table / Base Amount</t>
        </is>
      </c>
      <c r="C83" s="6" t="inlineStr">
        <is>
          <t>Architecture conclusion</t>
        </is>
      </c>
      <c r="D83" s="6" t="inlineStr">
        <is>
          <t>Future HTML pricing engine</t>
        </is>
      </c>
      <c r="E83" s="6" t="inlineStr">
        <is>
          <t>Base price lookup</t>
        </is>
      </c>
      <c r="F83" s="6" t="inlineStr">
        <is>
          <t>Series + Bore + Rod + Mount Group -&gt; Base Price</t>
        </is>
      </c>
      <c r="G83" s="6" t="inlineStr">
        <is>
          <t>VERIFIED design abstraction from workbook logic.</t>
        </is>
      </c>
    </row>
    <row r="84">
      <c r="A84" s="12" t="inlineStr">
        <is>
          <t>5</t>
        </is>
      </c>
      <c r="B84" s="6" t="inlineStr">
        <is>
          <t>Stroke-Related Cost</t>
        </is>
      </c>
      <c r="C84" s="6" t="inlineStr">
        <is>
          <t>Central aggregator</t>
        </is>
      </c>
      <c r="D84" s="6" t="inlineStr">
        <is>
          <t>Data</t>
        </is>
      </c>
      <c r="E84" s="6" t="inlineStr">
        <is>
          <t>C8</t>
        </is>
      </c>
      <c r="F84" s="6">
        <f>H!W52+A!W53+MH!S52+PH!N34+IH!W36+IMH!S27</f>
        <v/>
      </c>
      <c r="G84" s="6" t="inlineStr">
        <is>
          <t>VERIFIED; combined stroke + cushion amount, not stroke-only.</t>
        </is>
      </c>
    </row>
    <row r="85">
      <c r="A85" s="12" t="inlineStr">
        <is>
          <t>5</t>
        </is>
      </c>
      <c r="B85" s="6" t="inlineStr">
        <is>
          <t>Stroke-Related Cost</t>
        </is>
      </c>
      <c r="C85" s="6" t="inlineStr">
        <is>
          <t>Stroke input</t>
        </is>
      </c>
      <c r="D85" s="6" t="inlineStr">
        <is>
          <t>OrderEntry -&gt; Data</t>
        </is>
      </c>
      <c r="E85" s="6" t="inlineStr">
        <is>
          <t>Data!B8</t>
        </is>
      </c>
      <c r="F85" s="6" t="inlineStr">
        <is>
          <t>Stroke input used by Data!A1 and every active-series stroke formula.</t>
        </is>
      </c>
      <c r="G85" s="6" t="inlineStr">
        <is>
          <t>VERIFIED as downstream input; direct form ControlSource remained previously inferred.</t>
        </is>
      </c>
    </row>
    <row r="86">
      <c r="A86" s="12" t="inlineStr">
        <is>
          <t>5</t>
        </is>
      </c>
      <c r="B86" s="6" t="inlineStr">
        <is>
          <t>Stroke-Related Cost</t>
        </is>
      </c>
      <c r="C86" s="6" t="inlineStr">
        <is>
          <t>Cushion input</t>
        </is>
      </c>
      <c r="D86" s="6" t="inlineStr">
        <is>
          <t>OrderEntry -&gt; Data</t>
        </is>
      </c>
      <c r="E86" s="6" t="inlineStr">
        <is>
          <t>Data!B7</t>
        </is>
      </c>
      <c r="F86" s="6" t="inlineStr">
        <is>
          <t>Cushion code; ShipVia!E18:E24 lists NC, RE, CE, BE, ARE, ACE, ABE.</t>
        </is>
      </c>
      <c r="G86" s="6" t="inlineStr">
        <is>
          <t>VERIFIED</t>
        </is>
      </c>
    </row>
    <row r="87">
      <c r="A87" s="12" t="inlineStr">
        <is>
          <t>5</t>
        </is>
      </c>
      <c r="B87" s="6" t="inlineStr">
        <is>
          <t>Stroke-Related Cost</t>
        </is>
      </c>
      <c r="C87" s="6" t="inlineStr">
        <is>
          <t>H/HM/W total</t>
        </is>
      </c>
      <c r="D87" s="6" t="inlineStr">
        <is>
          <t>H</t>
        </is>
      </c>
      <c r="E87" s="6" t="inlineStr">
        <is>
          <t>W52</t>
        </is>
      </c>
      <c r="F87" s="6">
        <f>SUM(W7:W51)</f>
        <v/>
      </c>
      <c r="G87" s="6" t="inlineStr">
        <is>
          <t>VERIFIED</t>
        </is>
      </c>
    </row>
    <row r="88">
      <c r="A88" s="12" t="inlineStr">
        <is>
          <t>5</t>
        </is>
      </c>
      <c r="B88" s="6" t="inlineStr">
        <is>
          <t>Stroke-Related Cost</t>
        </is>
      </c>
      <c r="C88" s="6" t="inlineStr">
        <is>
          <t>H row formula</t>
        </is>
      </c>
      <c r="D88" s="6" t="inlineStr">
        <is>
          <t>H</t>
        </is>
      </c>
      <c r="E88" s="6" t="inlineStr">
        <is>
          <t>W7:W51</t>
        </is>
      </c>
      <c r="F88" s="6" t="inlineStr">
        <is>
          <t>If Q row is active: cushion multiplier*K row + J row*ROUNDUP(Data!B8,0.1).</t>
        </is>
      </c>
      <c r="G88" s="6" t="inlineStr">
        <is>
          <t>VERIFIED</t>
        </is>
      </c>
    </row>
    <row r="89">
      <c r="A89" s="12" t="inlineStr">
        <is>
          <t>5</t>
        </is>
      </c>
      <c r="B89" s="6" t="inlineStr">
        <is>
          <t>Stroke-Related Cost</t>
        </is>
      </c>
      <c r="C89" s="6" t="inlineStr">
        <is>
          <t>H stroke rates</t>
        </is>
      </c>
      <c r="D89" s="6" t="inlineStr">
        <is>
          <t>H</t>
        </is>
      </c>
      <c r="E89" s="6" t="inlineStr">
        <is>
          <t>J7:J51</t>
        </is>
      </c>
      <c r="F89" s="6" t="inlineStr">
        <is>
          <t>Single Rod Add Per inch of Stroke; row-specific hardcoded values.</t>
        </is>
      </c>
      <c r="G89" s="6" t="inlineStr">
        <is>
          <t>VERIFIED</t>
        </is>
      </c>
    </row>
    <row r="90">
      <c r="A90" s="12" t="inlineStr">
        <is>
          <t>5</t>
        </is>
      </c>
      <c r="B90" s="6" t="inlineStr">
        <is>
          <t>Stroke-Related Cost</t>
        </is>
      </c>
      <c r="C90" s="6" t="inlineStr">
        <is>
          <t>H cushion rates</t>
        </is>
      </c>
      <c r="D90" s="6" t="inlineStr">
        <is>
          <t>H</t>
        </is>
      </c>
      <c r="E90" s="6" t="inlineStr">
        <is>
          <t>K7:K51</t>
        </is>
      </c>
      <c r="F90" s="6" t="inlineStr">
        <is>
          <t>Add For Cushion Per End; row-specific hardcoded values.</t>
        </is>
      </c>
      <c r="G90" s="6" t="inlineStr">
        <is>
          <t>VERIFIED</t>
        </is>
      </c>
    </row>
    <row r="91">
      <c r="A91" s="12" t="inlineStr">
        <is>
          <t>5</t>
        </is>
      </c>
      <c r="B91" s="6" t="inlineStr">
        <is>
          <t>Stroke-Related Cost</t>
        </is>
      </c>
      <c r="C91" s="6" t="inlineStr">
        <is>
          <t>A/LH total</t>
        </is>
      </c>
      <c r="D91" s="6" t="inlineStr">
        <is>
          <t>A</t>
        </is>
      </c>
      <c r="E91" s="6" t="inlineStr">
        <is>
          <t>W53</t>
        </is>
      </c>
      <c r="F91" s="6">
        <f>SUM(W6:W52)</f>
        <v/>
      </c>
      <c r="G91" s="6" t="inlineStr">
        <is>
          <t>VERIFIED</t>
        </is>
      </c>
    </row>
    <row r="92">
      <c r="A92" s="12" t="inlineStr">
        <is>
          <t>5</t>
        </is>
      </c>
      <c r="B92" s="6" t="inlineStr">
        <is>
          <t>Stroke-Related Cost</t>
        </is>
      </c>
      <c r="C92" s="6" t="inlineStr">
        <is>
          <t>A row formula</t>
        </is>
      </c>
      <c r="D92" s="6" t="inlineStr">
        <is>
          <t>A</t>
        </is>
      </c>
      <c r="E92" s="6" t="inlineStr">
        <is>
          <t>W6:W52</t>
        </is>
      </c>
      <c r="F92" s="6" t="inlineStr">
        <is>
          <t>Same structure as H: cushion multiplier*K + J*ROUNDUP(Data!B8,0.1).</t>
        </is>
      </c>
      <c r="G92" s="6" t="inlineStr">
        <is>
          <t>VERIFIED</t>
        </is>
      </c>
    </row>
    <row r="93">
      <c r="A93" s="12" t="inlineStr">
        <is>
          <t>5</t>
        </is>
      </c>
      <c r="B93" s="6" t="inlineStr">
        <is>
          <t>Stroke-Related Cost</t>
        </is>
      </c>
      <c r="C93" s="6" t="inlineStr">
        <is>
          <t>MH total</t>
        </is>
      </c>
      <c r="D93" s="6" t="inlineStr">
        <is>
          <t>MH</t>
        </is>
      </c>
      <c r="E93" s="6" t="inlineStr">
        <is>
          <t>S52</t>
        </is>
      </c>
      <c r="F93" s="6">
        <f>SUM(S7:S51)</f>
        <v/>
      </c>
      <c r="G93" s="6" t="inlineStr">
        <is>
          <t>VERIFIED</t>
        </is>
      </c>
    </row>
    <row r="94">
      <c r="A94" s="12" t="inlineStr">
        <is>
          <t>5</t>
        </is>
      </c>
      <c r="B94" s="6" t="inlineStr">
        <is>
          <t>Stroke-Related Cost</t>
        </is>
      </c>
      <c r="C94" s="6" t="inlineStr">
        <is>
          <t>MH row formula</t>
        </is>
      </c>
      <c r="D94" s="6" t="inlineStr">
        <is>
          <t>MH</t>
        </is>
      </c>
      <c r="E94" s="6" t="inlineStr">
        <is>
          <t>S7:S51</t>
        </is>
      </c>
      <c r="F94" s="6" t="inlineStr">
        <is>
          <t>If O row active: BE=2*I; CE/RE=1*I; otherwise 0 cushion + H*ROUNDUP(Data!B8,0.1).</t>
        </is>
      </c>
      <c r="G94" s="6" t="inlineStr">
        <is>
          <t>VERIFIED</t>
        </is>
      </c>
    </row>
    <row r="95">
      <c r="A95" s="12" t="inlineStr">
        <is>
          <t>5</t>
        </is>
      </c>
      <c r="B95" s="6" t="inlineStr">
        <is>
          <t>Stroke-Related Cost</t>
        </is>
      </c>
      <c r="C95" s="6" t="inlineStr">
        <is>
          <t>IH/IHM total</t>
        </is>
      </c>
      <c r="D95" s="6" t="inlineStr">
        <is>
          <t>IH</t>
        </is>
      </c>
      <c r="E95" s="6" t="inlineStr">
        <is>
          <t>W36</t>
        </is>
      </c>
      <c r="F95" s="6">
        <f>SUM(W7:W35)</f>
        <v/>
      </c>
      <c r="G95" s="6" t="inlineStr">
        <is>
          <t>VERIFIED; metric per-mm stroke rates.</t>
        </is>
      </c>
    </row>
    <row r="96">
      <c r="A96" s="12" t="inlineStr">
        <is>
          <t>5</t>
        </is>
      </c>
      <c r="B96" s="6" t="inlineStr">
        <is>
          <t>Stroke-Related Cost</t>
        </is>
      </c>
      <c r="C96" s="6" t="inlineStr">
        <is>
          <t>IH row formula</t>
        </is>
      </c>
      <c r="D96" s="6" t="inlineStr">
        <is>
          <t>IH</t>
        </is>
      </c>
      <c r="E96" s="6" t="inlineStr">
        <is>
          <t>W7:W35</t>
        </is>
      </c>
      <c r="F96" s="6" t="inlineStr">
        <is>
          <t>Same cushion multiplier structure as H/A; J is per mm, K cushion-per-end.</t>
        </is>
      </c>
      <c r="G96" s="6" t="inlineStr">
        <is>
          <t>VERIFIED</t>
        </is>
      </c>
    </row>
    <row r="97">
      <c r="A97" s="12" t="inlineStr">
        <is>
          <t>5</t>
        </is>
      </c>
      <c r="B97" s="6" t="inlineStr">
        <is>
          <t>Stroke-Related Cost</t>
        </is>
      </c>
      <c r="C97" s="6" t="inlineStr">
        <is>
          <t>IMH total</t>
        </is>
      </c>
      <c r="D97" s="6" t="inlineStr">
        <is>
          <t>IMH</t>
        </is>
      </c>
      <c r="E97" s="6" t="inlineStr">
        <is>
          <t>S27</t>
        </is>
      </c>
      <c r="F97" s="6">
        <f>SUM(S7:S26)</f>
        <v/>
      </c>
      <c r="G97" s="6" t="inlineStr">
        <is>
          <t>VERIFIED; metric per-mm stroke rates.</t>
        </is>
      </c>
    </row>
    <row r="98">
      <c r="A98" s="12" t="inlineStr">
        <is>
          <t>5</t>
        </is>
      </c>
      <c r="B98" s="6" t="inlineStr">
        <is>
          <t>Stroke-Related Cost</t>
        </is>
      </c>
      <c r="C98" s="6" t="inlineStr">
        <is>
          <t>IMH row formula</t>
        </is>
      </c>
      <c r="D98" s="6" t="inlineStr">
        <is>
          <t>IMH</t>
        </is>
      </c>
      <c r="E98" s="6" t="inlineStr">
        <is>
          <t>S7:S26</t>
        </is>
      </c>
      <c r="F98" s="6" t="inlineStr">
        <is>
          <t>Same structure as MH; H is per mm, I cushion-per-end.</t>
        </is>
      </c>
      <c r="G98" s="6" t="inlineStr">
        <is>
          <t>VERIFIED</t>
        </is>
      </c>
    </row>
    <row r="99">
      <c r="A99" s="12" t="inlineStr">
        <is>
          <t>5</t>
        </is>
      </c>
      <c r="B99" s="6" t="inlineStr">
        <is>
          <t>Stroke-Related Cost</t>
        </is>
      </c>
      <c r="C99" s="6" t="inlineStr">
        <is>
          <t>PH reference</t>
        </is>
      </c>
      <c r="D99" s="6" t="inlineStr">
        <is>
          <t>PH</t>
        </is>
      </c>
      <c r="E99" s="6" t="inlineStr">
        <is>
          <t>N34</t>
        </is>
      </c>
      <c r="F99" s="6" t="inlineStr">
        <is>
          <t>Blank in this workbook; contributes zero to Data!C8.</t>
        </is>
      </c>
      <c r="G99" s="6" t="inlineStr">
        <is>
          <t>VERIFIED</t>
        </is>
      </c>
    </row>
    <row r="100">
      <c r="A100" s="12" t="inlineStr">
        <is>
          <t>5</t>
        </is>
      </c>
      <c r="B100" s="6" t="inlineStr">
        <is>
          <t>Stroke-Related Cost</t>
        </is>
      </c>
      <c r="C100" s="6" t="inlineStr">
        <is>
          <t>Cushion multiplier</t>
        </is>
      </c>
      <c r="D100" s="6" t="inlineStr">
        <is>
          <t>H/A/IH</t>
        </is>
      </c>
      <c r="E100" s="6" t="inlineStr">
        <is>
          <t>W-row formula</t>
        </is>
      </c>
      <c r="F100" s="6" t="inlineStr">
        <is>
          <t>NC/other=0; RE=1; CE=1; BE=2; ARE=2; ACE=2; ABE=4.</t>
        </is>
      </c>
      <c r="G100" s="6" t="inlineStr">
        <is>
          <t>VERIFIED</t>
        </is>
      </c>
    </row>
    <row r="101">
      <c r="A101" s="12" t="inlineStr">
        <is>
          <t>5</t>
        </is>
      </c>
      <c r="B101" s="6" t="inlineStr">
        <is>
          <t>Stroke-Related Cost</t>
        </is>
      </c>
      <c r="C101" s="6" t="inlineStr">
        <is>
          <t>Cushion multiplier</t>
        </is>
      </c>
      <c r="D101" s="6" t="inlineStr">
        <is>
          <t>MH/IMH</t>
        </is>
      </c>
      <c r="E101" s="6" t="inlineStr">
        <is>
          <t>S-row formula</t>
        </is>
      </c>
      <c r="F101" s="6" t="inlineStr">
        <is>
          <t>NC/other=0; RE=1; CE=1; BE=2; ARE/ACE/ABE are not handled and therefore produce 0 cushion add.</t>
        </is>
      </c>
      <c r="G101" s="6" t="inlineStr">
        <is>
          <t>VERIFIED</t>
        </is>
      </c>
    </row>
    <row r="102">
      <c r="A102" s="12" t="inlineStr">
        <is>
          <t>5</t>
        </is>
      </c>
      <c r="B102" s="6" t="inlineStr">
        <is>
          <t>Stroke-Related Cost</t>
        </is>
      </c>
      <c r="C102" s="6" t="inlineStr">
        <is>
          <t>Architecture conclusion</t>
        </is>
      </c>
      <c r="D102" s="6" t="inlineStr">
        <is>
          <t>Future HTML pricing engine</t>
        </is>
      </c>
      <c r="E102" s="6" t="inlineStr">
        <is>
          <t>Stroke + cushion rule</t>
        </is>
      </c>
      <c r="F102" s="6" t="inlineStr">
        <is>
          <t>Selected price-table row supplies StrokeRate and CushionRate; compute stroke add plus code-based cushion multiplier.</t>
        </is>
      </c>
      <c r="G102" s="6" t="inlineStr">
        <is>
          <t>VERIFIED design abstraction.</t>
        </is>
      </c>
    </row>
    <row r="103">
      <c r="A103" s="12" t="inlineStr">
        <is>
          <t>5</t>
        </is>
      </c>
      <c r="B103" s="6" t="inlineStr">
        <is>
          <t>Stroke-Related Cost</t>
        </is>
      </c>
      <c r="C103" s="6" t="inlineStr">
        <is>
          <t>Implementation caution</t>
        </is>
      </c>
      <c r="D103" s="6" t="inlineStr">
        <is>
          <t>Future HTML pricing engine</t>
        </is>
      </c>
      <c r="E103" s="6" t="inlineStr">
        <is>
          <t>ROUNDUP(Data!B8,0.1)</t>
        </is>
      </c>
      <c r="F103" s="6" t="inlineStr">
        <is>
          <t>Reproduce Excel behavior with test cases before simplifying the rounding expression.</t>
        </is>
      </c>
      <c r="G103" s="6" t="inlineStr">
        <is>
          <t>OPEN IMPLEMENTATION TEST; source formula VERIFIED.</t>
        </is>
      </c>
    </row>
    <row r="104" ht="30" customHeight="1">
      <c r="A104" s="12" t="inlineStr">
        <is>
          <t>6</t>
        </is>
      </c>
      <c r="B104" s="6" t="inlineStr">
        <is>
          <t>Accessories and Adders</t>
        </is>
      </c>
      <c r="C104" s="6" t="inlineStr">
        <is>
          <t>Direct accessory total</t>
        </is>
      </c>
      <c r="D104" s="6" t="inlineStr">
        <is>
          <t>Data</t>
        </is>
      </c>
      <c r="E104" s="6" t="inlineStr">
        <is>
          <t>H23</t>
        </is>
      </c>
      <c r="F104" s="6">
        <f>SUM(H8:H22)+H25</f>
        <v/>
      </c>
      <c r="G104" s="6" t="inlineStr">
        <is>
          <t>VERIFIED; direct accessory block added to Data!D6.</t>
        </is>
      </c>
    </row>
    <row r="105" ht="30" customHeight="1">
      <c r="A105" s="12" t="inlineStr">
        <is>
          <t>6</t>
        </is>
      </c>
      <c r="B105" s="6" t="inlineStr">
        <is>
          <t>Accessories and Adders</t>
        </is>
      </c>
      <c r="C105" s="6" t="inlineStr">
        <is>
          <t>Rod Clevis through Jam Nut quantities</t>
        </is>
      </c>
      <c r="D105" s="6" t="inlineStr">
        <is>
          <t>Data</t>
        </is>
      </c>
      <c r="E105" s="6" t="inlineStr">
        <is>
          <t>G9:G22</t>
        </is>
      </c>
      <c r="F105" s="6" t="inlineStr">
        <is>
          <t>User-entered quantities drive H9:H22 using Acc price cells.</t>
        </is>
      </c>
      <c r="G105" s="6" t="inlineStr">
        <is>
          <t>VERIFIED</t>
        </is>
      </c>
    </row>
    <row r="106" ht="30" customHeight="1">
      <c r="A106" s="12" t="inlineStr">
        <is>
          <t>6</t>
        </is>
      </c>
      <c r="B106" s="6" t="inlineStr">
        <is>
          <t>Accessories and Adders</t>
        </is>
      </c>
      <c r="C106" s="6" t="inlineStr">
        <is>
          <t>Standard Rod Boot</t>
        </is>
      </c>
      <c r="D106" s="6" t="inlineStr">
        <is>
          <t>Data / Acc</t>
        </is>
      </c>
      <c r="E106" s="6" t="inlineStr">
        <is>
          <t>Data!H25 / Acc!D69</t>
        </is>
      </c>
      <c r="F106" s="6" t="inlineStr">
        <is>
          <t>Acc!D69 sums rod-diameter-specific base + stroke price when Data!G25 &gt; 0.01.</t>
        </is>
      </c>
      <c r="G106" s="6" t="inlineStr">
        <is>
          <t>VERIFIED</t>
        </is>
      </c>
    </row>
    <row r="107" ht="30" customHeight="1">
      <c r="A107" s="12" t="inlineStr">
        <is>
          <t>6</t>
        </is>
      </c>
      <c r="B107" s="6" t="inlineStr">
        <is>
          <t>Accessories and Adders</t>
        </is>
      </c>
      <c r="C107" s="6" t="inlineStr">
        <is>
          <t>Special option total</t>
        </is>
      </c>
      <c r="D107" s="6" t="inlineStr">
        <is>
          <t>Data</t>
        </is>
      </c>
      <c r="E107" s="6" t="inlineStr">
        <is>
          <t>H33</t>
        </is>
      </c>
      <c r="F107" s="6">
        <f>SUM(H26:H32)</f>
        <v/>
      </c>
      <c r="G107" s="6" t="inlineStr">
        <is>
          <t>VERIFIED; free-form special option block.</t>
        </is>
      </c>
    </row>
    <row r="108" ht="30" customHeight="1">
      <c r="A108" s="12" t="inlineStr">
        <is>
          <t>6</t>
        </is>
      </c>
      <c r="B108" s="6" t="inlineStr">
        <is>
          <t>Accessories and Adders</t>
        </is>
      </c>
      <c r="C108" s="6" t="inlineStr">
        <is>
          <t>Special option descriptions</t>
        </is>
      </c>
      <c r="D108" s="6" t="inlineStr">
        <is>
          <t>Data / ShipVia</t>
        </is>
      </c>
      <c r="E108" s="6" t="inlineStr">
        <is>
          <t>F26:F31 -&gt; ShipVia!A24:A29</t>
        </is>
      </c>
      <c r="F108" s="6" t="inlineStr">
        <is>
          <t>Descriptions are mirrored to ShipVia for lookup.</t>
        </is>
      </c>
      <c r="G108" s="6" t="inlineStr">
        <is>
          <t>VERIFIED</t>
        </is>
      </c>
    </row>
    <row r="109" ht="30" customHeight="1">
      <c r="A109" s="12" t="inlineStr">
        <is>
          <t>6</t>
        </is>
      </c>
      <c r="B109" s="6" t="inlineStr">
        <is>
          <t>Accessories and Adders</t>
        </is>
      </c>
      <c r="C109" s="6" t="inlineStr">
        <is>
          <t>Special option lookup</t>
        </is>
      </c>
      <c r="D109" s="6" t="inlineStr">
        <is>
          <t>ShipVia</t>
        </is>
      </c>
      <c r="E109" s="6" t="inlineStr">
        <is>
          <t>B24:C29</t>
        </is>
      </c>
      <c r="F109" s="6" t="inlineStr">
        <is>
          <t>VLOOKUP descriptions against ShipVia!A52:C484; column C is used by Data!H26:H31.</t>
        </is>
      </c>
      <c r="G109" s="6" t="inlineStr">
        <is>
          <t>VERIFIED</t>
        </is>
      </c>
    </row>
    <row r="110" ht="30" customHeight="1">
      <c r="A110" s="12" t="inlineStr">
        <is>
          <t>6</t>
        </is>
      </c>
      <c r="B110" s="6" t="inlineStr">
        <is>
          <t>Accessories and Adders</t>
        </is>
      </c>
      <c r="C110" s="6" t="inlineStr">
        <is>
          <t>H-family common mods 1</t>
        </is>
      </c>
      <c r="D110" s="6" t="inlineStr">
        <is>
          <t>H2</t>
        </is>
      </c>
      <c r="E110" s="6" t="inlineStr">
        <is>
          <t>R53</t>
        </is>
      </c>
      <c r="F110" s="6">
        <f>SUM(M53:Q53)</f>
        <v/>
      </c>
      <c r="G110" s="6" t="inlineStr">
        <is>
          <t>VERIFIED; rod extension, stop tube, stainless rod, chrome bore, thread extension.</t>
        </is>
      </c>
    </row>
    <row r="111" ht="30" customHeight="1">
      <c r="A111" s="12" t="inlineStr">
        <is>
          <t>6</t>
        </is>
      </c>
      <c r="B111" s="6" t="inlineStr">
        <is>
          <t>Accessories and Adders</t>
        </is>
      </c>
      <c r="C111" s="6" t="inlineStr">
        <is>
          <t>H-family common mods 2</t>
        </is>
      </c>
      <c r="D111" s="6" t="inlineStr">
        <is>
          <t>H3</t>
        </is>
      </c>
      <c r="E111" s="6" t="inlineStr">
        <is>
          <t>T53</t>
        </is>
      </c>
      <c r="F111" s="6">
        <f>SUM(N53:S53)+T54</f>
        <v/>
      </c>
      <c r="G111" s="6" t="inlineStr">
        <is>
          <t>VERIFIED; gland drain, air bleed, prox, brass wiper, Viton, extra ports, light-duty mill.</t>
        </is>
      </c>
    </row>
    <row r="112" ht="30" customHeight="1">
      <c r="A112" s="12" t="inlineStr">
        <is>
          <t>6</t>
        </is>
      </c>
      <c r="B112" s="6" t="inlineStr">
        <is>
          <t>Accessories and Adders</t>
        </is>
      </c>
      <c r="C112" s="6" t="inlineStr">
        <is>
          <t>H-family common mods 3</t>
        </is>
      </c>
      <c r="D112" s="6" t="inlineStr">
        <is>
          <t>H4</t>
        </is>
      </c>
      <c r="E112" s="6" t="inlineStr">
        <is>
          <t>R53</t>
        </is>
      </c>
      <c r="F112" s="6">
        <f>SUM(M53:Q53)+R54</f>
        <v/>
      </c>
      <c r="G112" s="6" t="inlineStr">
        <is>
          <t>VERIFIED; flange port, extra tie rod, CIPR, UltraOx, special seals.</t>
        </is>
      </c>
    </row>
    <row r="113" ht="30" customHeight="1">
      <c r="A113" s="12" t="inlineStr">
        <is>
          <t>6</t>
        </is>
      </c>
      <c r="B113" s="6" t="inlineStr">
        <is>
          <t>Accessories and Adders</t>
        </is>
      </c>
      <c r="C113" s="6" t="inlineStr">
        <is>
          <t>A/LH common mods 1</t>
        </is>
      </c>
      <c r="D113" s="6" t="inlineStr">
        <is>
          <t>A2</t>
        </is>
      </c>
      <c r="E113" s="6" t="inlineStr">
        <is>
          <t>O55</t>
        </is>
      </c>
      <c r="F113" s="6">
        <f>SUM(K55:N55)</f>
        <v/>
      </c>
      <c r="G113" s="6" t="inlineStr">
        <is>
          <t>VERIFIED; rod extension, stop tube, stainless rod, thread extension.</t>
        </is>
      </c>
    </row>
    <row r="114" ht="30" customHeight="1">
      <c r="A114" s="12" t="inlineStr">
        <is>
          <t>6</t>
        </is>
      </c>
      <c r="B114" s="6" t="inlineStr">
        <is>
          <t>Accessories and Adders</t>
        </is>
      </c>
      <c r="C114" s="6" t="inlineStr">
        <is>
          <t>A/LH common mods 2</t>
        </is>
      </c>
      <c r="D114" s="6" t="inlineStr">
        <is>
          <t>A3</t>
        </is>
      </c>
      <c r="E114" s="6" t="inlineStr">
        <is>
          <t>Q55</t>
        </is>
      </c>
      <c r="F114" s="6">
        <f>SUM(L55:P55)</f>
        <v/>
      </c>
      <c r="G114" s="6" t="inlineStr">
        <is>
          <t>VERIFIED; air bleed, prox, brass wiper, seals, extra ports.</t>
        </is>
      </c>
    </row>
    <row r="115" ht="30" customHeight="1">
      <c r="A115" s="12" t="inlineStr">
        <is>
          <t>6</t>
        </is>
      </c>
      <c r="B115" s="6" t="inlineStr">
        <is>
          <t>Accessories and Adders</t>
        </is>
      </c>
      <c r="C115" s="6" t="inlineStr">
        <is>
          <t>A/LH common mods 3 reference</t>
        </is>
      </c>
      <c r="D115" s="6" t="inlineStr">
        <is>
          <t>A4</t>
        </is>
      </c>
      <c r="E115" s="6" t="inlineStr">
        <is>
          <t>O55</t>
        </is>
      </c>
      <c r="F115" s="6" t="inlineStr">
        <is>
          <t>Blank in current workbook but referenced in Data!D6.</t>
        </is>
      </c>
      <c r="G115" s="6" t="inlineStr">
        <is>
          <t>VERIFIED blank / legacy-reserved reference.</t>
        </is>
      </c>
    </row>
    <row r="116" ht="30" customHeight="1">
      <c r="A116" s="12" t="inlineStr">
        <is>
          <t>6</t>
        </is>
      </c>
      <c r="B116" s="6" t="inlineStr">
        <is>
          <t>Accessories and Adders</t>
        </is>
      </c>
      <c r="C116" s="6" t="inlineStr">
        <is>
          <t>Metric common mods 1</t>
        </is>
      </c>
      <c r="D116" s="6" t="inlineStr">
        <is>
          <t>IH2</t>
        </is>
      </c>
      <c r="E116" s="6" t="inlineStr">
        <is>
          <t>R37</t>
        </is>
      </c>
      <c r="F116" s="6">
        <f>SUM(M37:Q37)</f>
        <v/>
      </c>
      <c r="G116" s="6" t="inlineStr">
        <is>
          <t>VERIFIED; metric rod extension, stop tube, stainless rod, chrome bore, thread extension.</t>
        </is>
      </c>
    </row>
    <row r="117" ht="30" customHeight="1">
      <c r="A117" s="12" t="inlineStr">
        <is>
          <t>6</t>
        </is>
      </c>
      <c r="B117" s="6" t="inlineStr">
        <is>
          <t>Accessories and Adders</t>
        </is>
      </c>
      <c r="C117" s="6" t="inlineStr">
        <is>
          <t>Metric common mods 2</t>
        </is>
      </c>
      <c r="D117" s="6" t="inlineStr">
        <is>
          <t>IH3</t>
        </is>
      </c>
      <c r="E117" s="6" t="inlineStr">
        <is>
          <t>U37</t>
        </is>
      </c>
      <c r="F117" s="6">
        <f>SUM(N37:T37)</f>
        <v/>
      </c>
      <c r="G117" s="6" t="inlineStr">
        <is>
          <t>VERIFIED; gland drain, air bleed, prox, brass wiper, special seals, extra ports.</t>
        </is>
      </c>
    </row>
    <row r="118" ht="30" customHeight="1">
      <c r="A118" s="12" t="inlineStr">
        <is>
          <t>6</t>
        </is>
      </c>
      <c r="B118" s="6" t="inlineStr">
        <is>
          <t>Accessories and Adders</t>
        </is>
      </c>
      <c r="C118" s="6" t="inlineStr">
        <is>
          <t>Metric common mods 3</t>
        </is>
      </c>
      <c r="D118" s="6" t="inlineStr">
        <is>
          <t>IH4</t>
        </is>
      </c>
      <c r="E118" s="6" t="inlineStr">
        <is>
          <t>S37</t>
        </is>
      </c>
      <c r="F118" s="6">
        <f>SUM(M37:R37)</f>
        <v/>
      </c>
      <c r="G118" s="6" t="inlineStr">
        <is>
          <t>VERIFIED; flange port, extra tie rod, CIPR, UltraOx, special seals.</t>
        </is>
      </c>
    </row>
    <row r="119" ht="30" customHeight="1">
      <c r="A119" s="12" t="inlineStr">
        <is>
          <t>6</t>
        </is>
      </c>
      <c r="B119" s="6" t="inlineStr">
        <is>
          <t>Accessories and Adders</t>
        </is>
      </c>
      <c r="C119" s="6" t="inlineStr">
        <is>
          <t>Position-sensing total</t>
        </is>
      </c>
      <c r="D119" s="6" t="inlineStr">
        <is>
          <t>PH</t>
        </is>
      </c>
      <c r="E119" s="6" t="inlineStr">
        <is>
          <t>A33</t>
        </is>
      </c>
      <c r="F119" s="6">
        <f>IF(L33&gt;1,L33,D32+H20+I20+J20)</f>
        <v/>
      </c>
      <c r="G119" s="6" t="inlineStr">
        <is>
          <t>VERIFIED; chooses metric branch when L33 &gt; 1, otherwise imperial branch.</t>
        </is>
      </c>
    </row>
    <row r="120" ht="30" customHeight="1">
      <c r="A120" s="12" t="inlineStr">
        <is>
          <t>6</t>
        </is>
      </c>
      <c r="B120" s="6" t="inlineStr">
        <is>
          <t>Accessories and Adders</t>
        </is>
      </c>
      <c r="C120" s="6" t="inlineStr">
        <is>
          <t>PH gun drilling / transducer</t>
        </is>
      </c>
      <c r="D120" s="6" t="inlineStr">
        <is>
          <t>PH</t>
        </is>
      </c>
      <c r="E120" s="6" t="inlineStr">
        <is>
          <t>H5:H20 / S5:S20</t>
        </is>
      </c>
      <c r="F120" s="6" t="inlineStr">
        <is>
          <t>Triggered by Data!B18 or B22; base + stroke rate keyed by bore.</t>
        </is>
      </c>
      <c r="G120" s="6" t="inlineStr">
        <is>
          <t>VERIFIED</t>
        </is>
      </c>
    </row>
    <row r="121" ht="30" customHeight="1">
      <c r="A121" s="12" t="inlineStr">
        <is>
          <t>6</t>
        </is>
      </c>
      <c r="B121" s="6" t="inlineStr">
        <is>
          <t>Accessories and Adders</t>
        </is>
      </c>
      <c r="C121" s="6" t="inlineStr">
        <is>
          <t>PH sensor cover</t>
        </is>
      </c>
      <c r="D121" s="6" t="inlineStr">
        <is>
          <t>PH</t>
        </is>
      </c>
      <c r="E121" s="6" t="inlineStr">
        <is>
          <t>I5:I20 / T5:T20</t>
        </is>
      </c>
      <c r="F121" s="6" t="inlineStr">
        <is>
          <t>Triggered by Data!B24; certain MP mounts double price.</t>
        </is>
      </c>
      <c r="G121" s="6" t="inlineStr">
        <is>
          <t>VERIFIED</t>
        </is>
      </c>
    </row>
    <row r="122" ht="30" customHeight="1">
      <c r="A122" s="12" t="inlineStr">
        <is>
          <t>6</t>
        </is>
      </c>
      <c r="B122" s="6" t="inlineStr">
        <is>
          <t>Accessories and Adders</t>
        </is>
      </c>
      <c r="C122" s="6" t="inlineStr">
        <is>
          <t>PH valve manifold</t>
        </is>
      </c>
      <c r="D122" s="6" t="inlineStr">
        <is>
          <t>PH</t>
        </is>
      </c>
      <c r="E122" s="6" t="inlineStr">
        <is>
          <t>J5:J20 / U5:U20</t>
        </is>
      </c>
      <c r="F122" s="6" t="inlineStr">
        <is>
          <t>Triggered by Data!B26; base + stroke rate keyed by bore.</t>
        </is>
      </c>
      <c r="G122" s="6" t="inlineStr">
        <is>
          <t>VERIFIED</t>
        </is>
      </c>
    </row>
    <row r="123" ht="30" customHeight="1">
      <c r="A123" s="12" t="inlineStr">
        <is>
          <t>6</t>
        </is>
      </c>
      <c r="B123" s="6" t="inlineStr">
        <is>
          <t>Accessories and Adders</t>
        </is>
      </c>
      <c r="C123" s="6" t="inlineStr">
        <is>
          <t>VA total</t>
        </is>
      </c>
      <c r="D123" s="6" t="inlineStr">
        <is>
          <t>VA</t>
        </is>
      </c>
      <c r="E123" s="6" t="inlineStr">
        <is>
          <t>K20</t>
        </is>
      </c>
      <c r="F123" s="6">
        <f>SUM(J37:N37)+J19</f>
        <v/>
      </c>
      <c r="G123" s="6" t="inlineStr">
        <is>
          <t>VERIFIED; VA base/stroke plus VA common modifications.</t>
        </is>
      </c>
    </row>
    <row r="124" ht="30" customHeight="1">
      <c r="A124" s="12" t="inlineStr">
        <is>
          <t>6</t>
        </is>
      </c>
      <c r="B124" s="6" t="inlineStr">
        <is>
          <t>Accessories and Adders</t>
        </is>
      </c>
      <c r="C124" s="6" t="inlineStr">
        <is>
          <t>VA base + stroke</t>
        </is>
      </c>
      <c r="D124" s="6" t="inlineStr">
        <is>
          <t>VA</t>
        </is>
      </c>
      <c r="E124" s="6" t="inlineStr">
        <is>
          <t>J5:J18</t>
        </is>
      </c>
      <c r="F124" s="6" t="inlineStr">
        <is>
          <t>Matching VA bore returns base E + stroke x F; J19 sums active row.</t>
        </is>
      </c>
      <c r="G124" s="6" t="inlineStr">
        <is>
          <t>VERIFIED</t>
        </is>
      </c>
    </row>
    <row r="125" ht="30" customHeight="1">
      <c r="A125" s="12" t="inlineStr">
        <is>
          <t>6</t>
        </is>
      </c>
      <c r="B125" s="6" t="inlineStr">
        <is>
          <t>Accessories and Adders</t>
        </is>
      </c>
      <c r="C125" s="6" t="inlineStr">
        <is>
          <t>Reserved add-on slot</t>
        </is>
      </c>
      <c r="D125" s="6" t="inlineStr">
        <is>
          <t>Data</t>
        </is>
      </c>
      <c r="E125" s="6" t="inlineStr">
        <is>
          <t>C10</t>
        </is>
      </c>
      <c r="F125" s="6" t="inlineStr">
        <is>
          <t>Blank but referenced in Data!D6.</t>
        </is>
      </c>
      <c r="G125" s="6" t="inlineStr">
        <is>
          <t>VERIFIED blank; purpose not yet established.</t>
        </is>
      </c>
    </row>
    <row r="126" ht="30" customHeight="1">
      <c r="A126" s="12" t="inlineStr">
        <is>
          <t>6</t>
        </is>
      </c>
      <c r="B126" s="6" t="inlineStr">
        <is>
          <t>Accessories and Adders</t>
        </is>
      </c>
      <c r="C126" s="6" t="inlineStr">
        <is>
          <t>Post-subtotal add</t>
        </is>
      </c>
      <c r="D126" s="6" t="inlineStr">
        <is>
          <t>Data</t>
        </is>
      </c>
      <c r="E126" s="6" t="inlineStr">
        <is>
          <t>H24</t>
        </is>
      </c>
      <c r="F126" s="6" t="inlineStr">
        <is>
          <t>Blank but added after the (1-D4) multiplication in Data!D6.</t>
        </is>
      </c>
      <c r="G126" s="6" t="inlineStr">
        <is>
          <t>VERIFIED blank; placement important for Section 7.</t>
        </is>
      </c>
    </row>
    <row r="127" ht="30" customHeight="1">
      <c r="A127" s="12" t="inlineStr">
        <is>
          <t>6</t>
        </is>
      </c>
      <c r="B127" s="6" t="inlineStr">
        <is>
          <t>Accessories and Adders</t>
        </is>
      </c>
      <c r="C127" s="6" t="inlineStr">
        <is>
          <t>Architecture conclusion</t>
        </is>
      </c>
      <c r="D127" s="6" t="inlineStr">
        <is>
          <t>Future HTML pricing engine</t>
        </is>
      </c>
      <c r="E127" s="6" t="inlineStr">
        <is>
          <t>Optional charge modules</t>
        </is>
      </c>
      <c r="F127" s="6" t="inlineStr">
        <is>
          <t>Compute named accessory/common-mod/PH/VA adders separately, then sum them.</t>
        </is>
      </c>
      <c r="G127" s="6" t="inlineStr">
        <is>
          <t>VERIFIED design abstraction.</t>
        </is>
      </c>
    </row>
    <row r="128" ht="34" customHeight="1">
      <c r="A128" s="12" t="inlineStr">
        <is>
          <t>7</t>
        </is>
      </c>
      <c r="B128" s="6" t="inlineStr">
        <is>
          <t>Special-Order Pricing Rules</t>
        </is>
      </c>
      <c r="C128" s="6" t="inlineStr">
        <is>
          <t>DRE user entry</t>
        </is>
      </c>
      <c r="D128" s="6" t="inlineStr">
        <is>
          <t>OrderEntry</t>
        </is>
      </c>
      <c r="E128" s="6" t="inlineStr">
        <is>
          <t>TextBox8</t>
        </is>
      </c>
      <c r="F128" s="6" t="inlineStr">
        <is>
          <t>Control is positioned under label DRE (Y).</t>
        </is>
      </c>
      <c r="G128" s="6" t="inlineStr">
        <is>
          <t>FORM UI VERIFIED; exact ControlSource/event binding to Data!D18 remains to be confirmed.</t>
        </is>
      </c>
    </row>
    <row r="129" ht="34" customHeight="1">
      <c r="A129" s="12" t="inlineStr">
        <is>
          <t>7</t>
        </is>
      </c>
      <c r="B129" s="6" t="inlineStr">
        <is>
          <t>Special-Order Pricing Rules</t>
        </is>
      </c>
      <c r="C129" s="6" t="inlineStr">
        <is>
          <t>DRE flag</t>
        </is>
      </c>
      <c r="D129" s="6" t="inlineStr">
        <is>
          <t>Data</t>
        </is>
      </c>
      <c r="E129" s="6" t="inlineStr">
        <is>
          <t>D18</t>
        </is>
      </c>
      <c r="F129" s="6" t="inlineStr">
        <is>
          <t>Blank/nonblank flag used by Data!E5 and Data!D6; reset VBA explicitly clears D18.</t>
        </is>
      </c>
      <c r="G129" s="6" t="inlineStr">
        <is>
          <t>VERIFIED worksheet role.</t>
        </is>
      </c>
    </row>
    <row r="130" ht="34" customHeight="1">
      <c r="A130" s="12" t="inlineStr">
        <is>
          <t>7</t>
        </is>
      </c>
      <c r="B130" s="6" t="inlineStr">
        <is>
          <t>Special-Order Pricing Rules</t>
        </is>
      </c>
      <c r="C130" s="6" t="inlineStr">
        <is>
          <t>DRE model prefix</t>
        </is>
      </c>
      <c r="D130" s="6" t="inlineStr">
        <is>
          <t>Data</t>
        </is>
      </c>
      <c r="E130" s="6" t="inlineStr">
        <is>
          <t>E5</t>
        </is>
      </c>
      <c r="F130" s="6">
        <f>IF(D18="",B5,CONCATENATE("DRE/",B5))</f>
        <v/>
      </c>
      <c r="G130" s="6" t="inlineStr">
        <is>
          <t>VERIFIED; DRE changes mount segment to DRE/&lt;mount&gt;.</t>
        </is>
      </c>
    </row>
    <row r="131" ht="34" customHeight="1">
      <c r="A131" s="12" t="inlineStr">
        <is>
          <t>7</t>
        </is>
      </c>
      <c r="B131" s="6" t="inlineStr">
        <is>
          <t>Special-Order Pricing Rules</t>
        </is>
      </c>
      <c r="C131" s="6" t="inlineStr">
        <is>
          <t>DRE price surcharge</t>
        </is>
      </c>
      <c r="D131" s="6" t="inlineStr">
        <is>
          <t>Data</t>
        </is>
      </c>
      <c r="E131" s="6" t="inlineStr">
        <is>
          <t>D6</t>
        </is>
      </c>
      <c r="F131" s="6" t="inlineStr">
        <is>
          <t>When D18 is nonblank, adds C5*0.65 before applying (1-D4).</t>
        </is>
      </c>
      <c r="G131" s="6" t="inlineStr">
        <is>
          <t>VERIFIED.</t>
        </is>
      </c>
    </row>
    <row r="132" ht="34" customHeight="1">
      <c r="A132" s="12" t="inlineStr">
        <is>
          <t>7</t>
        </is>
      </c>
      <c r="B132" s="6" t="inlineStr">
        <is>
          <t>Special-Order Pricing Rules</t>
        </is>
      </c>
      <c r="C132" s="6" t="inlineStr">
        <is>
          <t>DRE surcharge base</t>
        </is>
      </c>
      <c r="D132" s="6" t="inlineStr">
        <is>
          <t>Data</t>
        </is>
      </c>
      <c r="E132" s="6" t="inlineStr">
        <is>
          <t>C5</t>
        </is>
      </c>
      <c r="F132" s="6" t="inlineStr">
        <is>
          <t>65% applies only to C5 primary base-price total.</t>
        </is>
      </c>
      <c r="G132" s="6" t="inlineStr">
        <is>
          <t>VERIFIED; stroke/cushion and optional adders are excluded from the surcharge base.</t>
        </is>
      </c>
    </row>
    <row r="133" ht="34" customHeight="1">
      <c r="A133" s="12" t="inlineStr">
        <is>
          <t>7</t>
        </is>
      </c>
      <c r="B133" s="6" t="inlineStr">
        <is>
          <t>Special-Order Pricing Rules</t>
        </is>
      </c>
      <c r="C133" s="6" t="inlineStr">
        <is>
          <t>Normal subtotal symbol S</t>
        </is>
      </c>
      <c r="D133" s="6" t="inlineStr">
        <is>
          <t>Data</t>
        </is>
      </c>
      <c r="E133" s="6" t="inlineStr">
        <is>
          <t>D6</t>
        </is>
      </c>
      <c r="F133" s="6" t="inlineStr">
        <is>
          <t>C5+C8+C10+H23+H33+VA!K20+PH!A33+H2!R53+H3!T53+H4!R53+A2!O55+A3!Q55+A4!O55+IH2!R37+IH3!U37+IH4!S37</t>
        </is>
      </c>
      <c r="G133" s="6" t="inlineStr">
        <is>
          <t>VERIFIED D6 subtotal.</t>
        </is>
      </c>
    </row>
    <row r="134" ht="34" customHeight="1">
      <c r="A134" s="12" t="inlineStr">
        <is>
          <t>7</t>
        </is>
      </c>
      <c r="B134" s="6" t="inlineStr">
        <is>
          <t>Special-Order Pricing Rules</t>
        </is>
      </c>
      <c r="C134" s="6" t="inlineStr">
        <is>
          <t>Adjustment order</t>
        </is>
      </c>
      <c r="D134" s="6" t="inlineStr">
        <is>
          <t>Data</t>
        </is>
      </c>
      <c r="E134" s="6" t="inlineStr">
        <is>
          <t>D6</t>
        </is>
      </c>
      <c r="F134" s="6" t="inlineStr">
        <is>
          <t>Normal or DRE subtotal is multiplied by (1-D4).</t>
        </is>
      </c>
      <c r="G134" s="6" t="inlineStr">
        <is>
          <t>VERIFIED; DRE surcharge is inside adjustment.</t>
        </is>
      </c>
    </row>
    <row r="135" ht="34" customHeight="1">
      <c r="A135" s="12" t="inlineStr">
        <is>
          <t>7</t>
        </is>
      </c>
      <c r="B135" s="6" t="inlineStr">
        <is>
          <t>Special-Order Pricing Rules</t>
        </is>
      </c>
      <c r="C135" s="6" t="inlineStr">
        <is>
          <t>Post-adjustment add</t>
        </is>
      </c>
      <c r="D135" s="6" t="inlineStr">
        <is>
          <t>Data</t>
        </is>
      </c>
      <c r="E135" s="6" t="inlineStr">
        <is>
          <t>H24</t>
        </is>
      </c>
      <c r="F135" s="6" t="inlineStr">
        <is>
          <t>H24 is added after (1-D4) and before final ROUNDUP.</t>
        </is>
      </c>
      <c r="G135" s="6" t="inlineStr">
        <is>
          <t>VERIFIED placement; currently blank.</t>
        </is>
      </c>
    </row>
    <row r="136" ht="34" customHeight="1">
      <c r="A136" s="12" t="inlineStr">
        <is>
          <t>7</t>
        </is>
      </c>
      <c r="B136" s="6" t="inlineStr">
        <is>
          <t>Special-Order Pricing Rules</t>
        </is>
      </c>
      <c r="C136" s="6" t="inlineStr">
        <is>
          <t>Final rounding</t>
        </is>
      </c>
      <c r="D136" s="6" t="inlineStr">
        <is>
          <t>Data</t>
        </is>
      </c>
      <c r="E136" s="6" t="inlineStr">
        <is>
          <t>D6</t>
        </is>
      </c>
      <c r="F136" s="6" t="inlineStr">
        <is>
          <t>ROUNDUP(...,0)</t>
        </is>
      </c>
      <c r="G136" s="6" t="inlineStr">
        <is>
          <t>VERIFIED whole-dollar upward rounding.</t>
        </is>
      </c>
    </row>
    <row r="137" ht="34" customHeight="1">
      <c r="A137" s="12" t="inlineStr">
        <is>
          <t>7</t>
        </is>
      </c>
      <c r="B137" s="6" t="inlineStr">
        <is>
          <t>Special-Order Pricing Rules</t>
        </is>
      </c>
      <c r="C137" s="6" t="inlineStr">
        <is>
          <t>Rod style input</t>
        </is>
      </c>
      <c r="D137" s="6" t="inlineStr">
        <is>
          <t>Data</t>
        </is>
      </c>
      <c r="E137" s="6" t="inlineStr">
        <is>
          <t>D15</t>
        </is>
      </c>
      <c r="F137" s="6" t="inlineStr">
        <is>
          <t>OrderEntry Style writes here; Data!D9 interprets style values.</t>
        </is>
      </c>
      <c r="G137" s="6" t="inlineStr">
        <is>
          <t>VERIFIED.</t>
        </is>
      </c>
    </row>
    <row r="138" ht="34" customHeight="1">
      <c r="A138" s="12" t="inlineStr">
        <is>
          <t>7</t>
        </is>
      </c>
      <c r="B138" s="6" t="inlineStr">
        <is>
          <t>Special-Order Pricing Rules</t>
        </is>
      </c>
      <c r="C138" s="6" t="inlineStr">
        <is>
          <t>Rod style description</t>
        </is>
      </c>
      <c r="D138" s="6" t="inlineStr">
        <is>
          <t>Data</t>
        </is>
      </c>
      <c r="E138" s="6" t="inlineStr">
        <is>
          <t>D9</t>
        </is>
      </c>
      <c r="F138" s="6" t="inlineStr">
        <is>
          <t>D15=4 -&gt; Safety Coupler; D15=5 -&gt; Special Threads; other values use rod lookup.</t>
        </is>
      </c>
      <c r="G138" s="6" t="inlineStr">
        <is>
          <t>VERIFIED.</t>
        </is>
      </c>
    </row>
    <row r="139" ht="34" customHeight="1">
      <c r="A139" s="12" t="inlineStr">
        <is>
          <t>7</t>
        </is>
      </c>
      <c r="B139" s="6" t="inlineStr">
        <is>
          <t>Special-Order Pricing Rules</t>
        </is>
      </c>
      <c r="C139" s="6" t="inlineStr">
        <is>
          <t>Special-thread charge driver</t>
        </is>
      </c>
      <c r="D139" s="6" t="inlineStr">
        <is>
          <t>Data / H2 / A2 / IH2</t>
        </is>
      </c>
      <c r="E139" s="6" t="inlineStr">
        <is>
          <t>Data!B27</t>
        </is>
      </c>
      <c r="F139" s="6" t="inlineStr">
        <is>
          <t>Secondary sheets multiply row-specific thread rate by B27; totals feed D6.</t>
        </is>
      </c>
      <c r="G139" s="6" t="inlineStr">
        <is>
          <t>VERIFIED monetary thread-extension path.</t>
        </is>
      </c>
    </row>
    <row r="140" ht="34" customHeight="1">
      <c r="A140" s="12" t="inlineStr">
        <is>
          <t>7</t>
        </is>
      </c>
      <c r="B140" s="6" t="inlineStr">
        <is>
          <t>Special-Order Pricing Rules</t>
        </is>
      </c>
      <c r="C140" s="6" t="inlineStr">
        <is>
          <t>D15 direct price dependency</t>
        </is>
      </c>
      <c r="D140" s="6" t="inlineStr">
        <is>
          <t>Workbook</t>
        </is>
      </c>
      <c r="E140" s="6" t="inlineStr">
        <is>
          <t>D15 -&gt; D6 search</t>
        </is>
      </c>
      <c r="F140" s="6" t="inlineStr">
        <is>
          <t>No direct D15 reference found in D6 or the documented D6 add-on totals.</t>
        </is>
      </c>
      <c r="G140" s="6" t="inlineStr">
        <is>
          <t>VERIFIED search result; dimensional/description logic does use D15.</t>
        </is>
      </c>
    </row>
    <row r="141" ht="34" customHeight="1">
      <c r="A141" s="12" t="inlineStr">
        <is>
          <t>7</t>
        </is>
      </c>
      <c r="B141" s="6" t="inlineStr">
        <is>
          <t>Special-Order Pricing Rules</t>
        </is>
      </c>
      <c r="C141" s="6" t="inlineStr">
        <is>
          <t>Discount/adjustment field</t>
        </is>
      </c>
      <c r="D141" s="6" t="inlineStr">
        <is>
          <t>Data / Quote Form / OrderEntry</t>
        </is>
      </c>
      <c r="E141" s="6" t="inlineStr">
        <is>
          <t>Data!D4 / Quote Form!E11 / TextBoxDiscount</t>
        </is>
      </c>
      <c r="F141" s="6" t="inlineStr">
        <is>
          <t>D6 uses (1-D4); Quote Form displays D4; form label identifies Discount.</t>
        </is>
      </c>
      <c r="G141" s="6" t="inlineStr">
        <is>
          <t>VERIFIED relationship; full list/net interpretation deferred to Section 8.</t>
        </is>
      </c>
    </row>
    <row r="142" ht="34" customHeight="1">
      <c r="A142" s="12" t="inlineStr">
        <is>
          <t>7</t>
        </is>
      </c>
      <c r="B142" s="6" t="inlineStr">
        <is>
          <t>Special-Order Pricing Rules</t>
        </is>
      </c>
      <c r="C142" s="6" t="inlineStr">
        <is>
          <t>HTML abstraction</t>
        </is>
      </c>
      <c r="D142" s="6" t="inlineStr">
        <is>
          <t>Future pricing engine</t>
        </is>
      </c>
      <c r="E142" s="6" t="inlineStr">
        <is>
          <t>special_order_layer</t>
        </is>
      </c>
      <c r="F142" s="6" t="inlineStr">
        <is>
          <t>DRE surcharge is explicit 65% of base; extra-thread pricing separate from rod-style selection.</t>
        </is>
      </c>
      <c r="G142" s="6" t="inlineStr">
        <is>
          <t>VERIFIED design abstraction.</t>
        </is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2026-08-10T16:22:10Z</dcterms:created>
  <dcterms:modified xmlns:dcterms="http://purl.org/dc/terms/" xmlns:xsi="http://www.w3.org/2001/XMLSchema-instance" xsi:type="dcterms:W3CDTF">2026-08-10T17:00:51Z</dcterms:modified>
</cp:coreProperties>
</file>