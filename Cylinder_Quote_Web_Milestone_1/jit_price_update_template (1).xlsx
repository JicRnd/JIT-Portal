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"/>
    </mc:Choice>
  </mc:AlternateContent>
  <xr:revisionPtr revIDLastSave="0" documentId="13_ncr:1_{3377BCBF-C143-48C3-B26D-2A5A6151F794}" xr6:coauthVersionLast="47" xr6:coauthVersionMax="47" xr10:uidLastSave="{00000000-0000-0000-0000-000000000000}"/>
  <bookViews>
    <workbookView xWindow="40545" yWindow="495" windowWidth="19200" windowHeight="11175" activeTab="1" xr2:uid="{00000000-000D-0000-FFFF-FFFF00000000}"/>
  </bookViews>
  <sheets>
    <sheet name="Price Update" sheetId="1" r:id="rId1"/>
    <sheet name="ShipVia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6" i="2" l="1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C416" i="2"/>
  <c r="E415" i="2"/>
  <c r="C415" i="2"/>
  <c r="E414" i="2"/>
  <c r="C414" i="2"/>
  <c r="E413" i="2"/>
  <c r="C413" i="2"/>
  <c r="E412" i="2"/>
  <c r="C412" i="2"/>
  <c r="E411" i="2"/>
  <c r="C411" i="2"/>
  <c r="E410" i="2"/>
  <c r="C410" i="2"/>
  <c r="E409" i="2"/>
  <c r="C409" i="2"/>
  <c r="E408" i="2"/>
  <c r="C408" i="2"/>
  <c r="E407" i="2"/>
  <c r="C407" i="2"/>
  <c r="E406" i="2"/>
  <c r="C406" i="2"/>
  <c r="D405" i="2"/>
  <c r="E405" i="2" s="1"/>
  <c r="D404" i="2"/>
  <c r="E404" i="2" s="1"/>
  <c r="D403" i="2"/>
  <c r="E403" i="2" s="1"/>
  <c r="D402" i="2"/>
  <c r="E402" i="2" s="1"/>
  <c r="D401" i="2"/>
  <c r="E401" i="2" s="1"/>
  <c r="D400" i="2"/>
  <c r="E400" i="2" s="1"/>
  <c r="D399" i="2"/>
  <c r="E399" i="2" s="1"/>
  <c r="D398" i="2"/>
  <c r="E398" i="2" s="1"/>
  <c r="D397" i="2"/>
  <c r="E397" i="2" s="1"/>
  <c r="D396" i="2"/>
  <c r="E396" i="2" s="1"/>
  <c r="D395" i="2"/>
  <c r="E395" i="2" s="1"/>
  <c r="D394" i="2"/>
  <c r="E394" i="2" s="1"/>
  <c r="E393" i="2"/>
  <c r="D393" i="2"/>
  <c r="D392" i="2"/>
  <c r="E392" i="2" s="1"/>
  <c r="D391" i="2"/>
  <c r="E391" i="2" s="1"/>
  <c r="D390" i="2"/>
  <c r="E390" i="2" s="1"/>
  <c r="D389" i="2"/>
  <c r="E389" i="2" s="1"/>
  <c r="D388" i="2"/>
  <c r="E388" i="2" s="1"/>
  <c r="D387" i="2"/>
  <c r="E387" i="2" s="1"/>
  <c r="D386" i="2"/>
  <c r="E386" i="2" s="1"/>
  <c r="D385" i="2"/>
  <c r="E385" i="2" s="1"/>
  <c r="D384" i="2"/>
  <c r="E384" i="2" s="1"/>
  <c r="D383" i="2"/>
  <c r="E383" i="2" s="1"/>
  <c r="D382" i="2"/>
  <c r="E382" i="2" s="1"/>
  <c r="D381" i="2"/>
  <c r="E381" i="2" s="1"/>
  <c r="D380" i="2"/>
  <c r="E380" i="2" s="1"/>
  <c r="D379" i="2"/>
  <c r="E379" i="2" s="1"/>
  <c r="D378" i="2"/>
  <c r="E378" i="2" s="1"/>
  <c r="D377" i="2"/>
  <c r="E377" i="2" s="1"/>
  <c r="D376" i="2"/>
  <c r="E376" i="2" s="1"/>
  <c r="D375" i="2"/>
  <c r="E375" i="2" s="1"/>
  <c r="D374" i="2"/>
  <c r="E374" i="2" s="1"/>
  <c r="D373" i="2"/>
  <c r="E373" i="2" s="1"/>
  <c r="D372" i="2"/>
  <c r="E372" i="2" s="1"/>
  <c r="D371" i="2"/>
  <c r="E371" i="2" s="1"/>
  <c r="D370" i="2"/>
  <c r="E370" i="2" s="1"/>
  <c r="D369" i="2"/>
  <c r="E369" i="2" s="1"/>
  <c r="D368" i="2"/>
  <c r="E368" i="2" s="1"/>
  <c r="D367" i="2"/>
  <c r="E367" i="2" s="1"/>
  <c r="D366" i="2"/>
  <c r="E366" i="2" s="1"/>
  <c r="D365" i="2"/>
  <c r="E365" i="2" s="1"/>
  <c r="D364" i="2"/>
  <c r="E364" i="2" s="1"/>
  <c r="D363" i="2"/>
  <c r="E363" i="2" s="1"/>
  <c r="D362" i="2"/>
  <c r="E362" i="2" s="1"/>
  <c r="D361" i="2"/>
  <c r="E361" i="2" s="1"/>
  <c r="D360" i="2"/>
  <c r="E360" i="2" s="1"/>
  <c r="D359" i="2"/>
  <c r="E359" i="2" s="1"/>
  <c r="D358" i="2"/>
  <c r="E358" i="2" s="1"/>
  <c r="D357" i="2"/>
  <c r="E357" i="2" s="1"/>
  <c r="D356" i="2"/>
  <c r="E356" i="2" s="1"/>
  <c r="D355" i="2"/>
  <c r="E355" i="2" s="1"/>
  <c r="D354" i="2"/>
  <c r="E354" i="2" s="1"/>
  <c r="D353" i="2"/>
  <c r="E353" i="2" s="1"/>
  <c r="D352" i="2"/>
  <c r="E352" i="2" s="1"/>
  <c r="D351" i="2"/>
  <c r="E351" i="2" s="1"/>
  <c r="D350" i="2"/>
  <c r="E350" i="2" s="1"/>
  <c r="D349" i="2"/>
  <c r="E349" i="2" s="1"/>
  <c r="D348" i="2"/>
  <c r="E348" i="2" s="1"/>
  <c r="D347" i="2"/>
  <c r="E347" i="2" s="1"/>
  <c r="D346" i="2"/>
  <c r="E346" i="2" s="1"/>
  <c r="D345" i="2"/>
  <c r="E345" i="2" s="1"/>
  <c r="D344" i="2"/>
  <c r="E344" i="2" s="1"/>
  <c r="D343" i="2"/>
  <c r="E343" i="2" s="1"/>
  <c r="D342" i="2"/>
  <c r="E342" i="2" s="1"/>
  <c r="D341" i="2"/>
  <c r="E341" i="2" s="1"/>
  <c r="D340" i="2"/>
  <c r="E340" i="2" s="1"/>
  <c r="D339" i="2"/>
  <c r="E339" i="2" s="1"/>
  <c r="D338" i="2"/>
  <c r="E338" i="2" s="1"/>
  <c r="D337" i="2"/>
  <c r="E337" i="2" s="1"/>
  <c r="D336" i="2"/>
  <c r="E336" i="2" s="1"/>
  <c r="D335" i="2"/>
  <c r="E335" i="2" s="1"/>
  <c r="D334" i="2"/>
  <c r="E334" i="2" s="1"/>
  <c r="D333" i="2"/>
  <c r="E333" i="2" s="1"/>
  <c r="D332" i="2"/>
  <c r="E332" i="2" s="1"/>
  <c r="D331" i="2"/>
  <c r="E331" i="2" s="1"/>
  <c r="D330" i="2"/>
  <c r="E330" i="2" s="1"/>
  <c r="E329" i="2"/>
  <c r="D329" i="2"/>
  <c r="D328" i="2"/>
  <c r="E328" i="2" s="1"/>
  <c r="D327" i="2"/>
  <c r="E327" i="2" s="1"/>
  <c r="D326" i="2"/>
  <c r="E326" i="2" s="1"/>
  <c r="D325" i="2"/>
  <c r="E325" i="2" s="1"/>
  <c r="D324" i="2"/>
  <c r="E324" i="2" s="1"/>
  <c r="D323" i="2"/>
  <c r="E323" i="2" s="1"/>
  <c r="D322" i="2"/>
  <c r="E322" i="2" s="1"/>
  <c r="D321" i="2"/>
  <c r="E321" i="2" s="1"/>
  <c r="D320" i="2"/>
  <c r="E320" i="2" s="1"/>
  <c r="D319" i="2"/>
  <c r="E319" i="2" s="1"/>
  <c r="D318" i="2"/>
  <c r="E318" i="2" s="1"/>
  <c r="D317" i="2"/>
  <c r="E317" i="2" s="1"/>
  <c r="D316" i="2"/>
  <c r="E316" i="2" s="1"/>
  <c r="D315" i="2"/>
  <c r="E315" i="2" s="1"/>
  <c r="D314" i="2"/>
  <c r="E314" i="2" s="1"/>
  <c r="D313" i="2"/>
  <c r="E313" i="2" s="1"/>
  <c r="D312" i="2"/>
  <c r="E312" i="2" s="1"/>
  <c r="D311" i="2"/>
  <c r="E311" i="2" s="1"/>
  <c r="D310" i="2"/>
  <c r="E310" i="2" s="1"/>
  <c r="D309" i="2"/>
  <c r="E309" i="2" s="1"/>
  <c r="D308" i="2"/>
  <c r="E308" i="2" s="1"/>
  <c r="D307" i="2"/>
  <c r="E307" i="2" s="1"/>
  <c r="D306" i="2"/>
  <c r="E306" i="2" s="1"/>
  <c r="D305" i="2"/>
  <c r="E305" i="2" s="1"/>
  <c r="D304" i="2"/>
  <c r="E304" i="2" s="1"/>
  <c r="D303" i="2"/>
  <c r="E303" i="2" s="1"/>
  <c r="D302" i="2"/>
  <c r="E302" i="2" s="1"/>
  <c r="D301" i="2"/>
  <c r="E301" i="2" s="1"/>
  <c r="D300" i="2"/>
  <c r="E300" i="2" s="1"/>
  <c r="D299" i="2"/>
  <c r="E299" i="2" s="1"/>
  <c r="D298" i="2"/>
  <c r="E298" i="2" s="1"/>
  <c r="D297" i="2"/>
  <c r="E297" i="2" s="1"/>
  <c r="D296" i="2"/>
  <c r="E296" i="2" s="1"/>
  <c r="D295" i="2"/>
  <c r="E295" i="2" s="1"/>
  <c r="D294" i="2"/>
  <c r="E294" i="2" s="1"/>
  <c r="D293" i="2"/>
  <c r="E293" i="2" s="1"/>
  <c r="D292" i="2"/>
  <c r="E292" i="2" s="1"/>
  <c r="D291" i="2"/>
  <c r="E291" i="2" s="1"/>
  <c r="D290" i="2"/>
  <c r="E290" i="2" s="1"/>
  <c r="D289" i="2"/>
  <c r="E289" i="2" s="1"/>
  <c r="D288" i="2"/>
  <c r="E288" i="2" s="1"/>
  <c r="D287" i="2"/>
  <c r="E287" i="2" s="1"/>
  <c r="D286" i="2"/>
  <c r="E286" i="2" s="1"/>
  <c r="D285" i="2"/>
  <c r="E285" i="2" s="1"/>
  <c r="D284" i="2"/>
  <c r="E284" i="2" s="1"/>
  <c r="D283" i="2"/>
  <c r="E283" i="2" s="1"/>
  <c r="D282" i="2"/>
  <c r="E282" i="2" s="1"/>
  <c r="D281" i="2"/>
  <c r="E281" i="2" s="1"/>
  <c r="D280" i="2"/>
  <c r="E280" i="2" s="1"/>
  <c r="D279" i="2"/>
  <c r="E279" i="2" s="1"/>
  <c r="D278" i="2"/>
  <c r="E278" i="2" s="1"/>
  <c r="D277" i="2"/>
  <c r="E277" i="2" s="1"/>
  <c r="D276" i="2"/>
  <c r="E276" i="2" s="1"/>
  <c r="D275" i="2"/>
  <c r="E275" i="2" s="1"/>
  <c r="D274" i="2"/>
  <c r="E274" i="2" s="1"/>
  <c r="D273" i="2"/>
  <c r="E273" i="2" s="1"/>
  <c r="D272" i="2"/>
  <c r="E272" i="2" s="1"/>
  <c r="D271" i="2"/>
  <c r="E271" i="2" s="1"/>
  <c r="D270" i="2"/>
  <c r="E270" i="2" s="1"/>
  <c r="D269" i="2"/>
  <c r="E269" i="2" s="1"/>
  <c r="D268" i="2"/>
  <c r="E268" i="2" s="1"/>
  <c r="D267" i="2"/>
  <c r="E267" i="2" s="1"/>
  <c r="D266" i="2"/>
  <c r="E266" i="2" s="1"/>
  <c r="D265" i="2"/>
  <c r="E265" i="2" s="1"/>
  <c r="D264" i="2"/>
  <c r="E264" i="2" s="1"/>
  <c r="D263" i="2"/>
  <c r="E263" i="2" s="1"/>
  <c r="D262" i="2"/>
  <c r="E262" i="2" s="1"/>
  <c r="D261" i="2"/>
  <c r="E261" i="2" s="1"/>
  <c r="D260" i="2"/>
  <c r="E260" i="2" s="1"/>
  <c r="D259" i="2"/>
  <c r="E259" i="2" s="1"/>
  <c r="D258" i="2"/>
  <c r="E258" i="2" s="1"/>
  <c r="D257" i="2"/>
  <c r="E257" i="2" s="1"/>
  <c r="D256" i="2"/>
  <c r="E256" i="2" s="1"/>
  <c r="D255" i="2"/>
  <c r="E255" i="2" s="1"/>
  <c r="D254" i="2"/>
  <c r="E254" i="2" s="1"/>
  <c r="D253" i="2"/>
  <c r="E253" i="2" s="1"/>
  <c r="D252" i="2"/>
  <c r="E252" i="2" s="1"/>
  <c r="D251" i="2"/>
  <c r="E251" i="2" s="1"/>
  <c r="D250" i="2"/>
  <c r="E250" i="2" s="1"/>
  <c r="D249" i="2"/>
  <c r="E249" i="2" s="1"/>
  <c r="D248" i="2"/>
  <c r="E248" i="2" s="1"/>
  <c r="D247" i="2"/>
  <c r="E247" i="2" s="1"/>
  <c r="D246" i="2"/>
  <c r="E246" i="2" s="1"/>
  <c r="D245" i="2"/>
  <c r="E245" i="2" s="1"/>
  <c r="D244" i="2"/>
  <c r="E244" i="2" s="1"/>
  <c r="D243" i="2"/>
  <c r="E243" i="2" s="1"/>
  <c r="D242" i="2"/>
  <c r="E242" i="2" s="1"/>
  <c r="D241" i="2"/>
  <c r="E241" i="2" s="1"/>
  <c r="D240" i="2"/>
  <c r="E240" i="2" s="1"/>
  <c r="D239" i="2"/>
  <c r="E239" i="2" s="1"/>
  <c r="D238" i="2"/>
  <c r="E238" i="2" s="1"/>
  <c r="D237" i="2"/>
  <c r="E237" i="2" s="1"/>
  <c r="D236" i="2"/>
  <c r="E236" i="2" s="1"/>
  <c r="D235" i="2"/>
  <c r="E235" i="2" s="1"/>
  <c r="D234" i="2"/>
  <c r="E234" i="2" s="1"/>
  <c r="D233" i="2"/>
  <c r="E233" i="2" s="1"/>
  <c r="D232" i="2"/>
  <c r="E232" i="2" s="1"/>
  <c r="D231" i="2"/>
  <c r="E231" i="2" s="1"/>
  <c r="D230" i="2"/>
  <c r="E230" i="2" s="1"/>
  <c r="D229" i="2"/>
  <c r="E229" i="2" s="1"/>
  <c r="D228" i="2"/>
  <c r="E228" i="2" s="1"/>
  <c r="D227" i="2"/>
  <c r="E227" i="2" s="1"/>
  <c r="D226" i="2"/>
  <c r="E226" i="2" s="1"/>
  <c r="D225" i="2"/>
  <c r="E225" i="2" s="1"/>
  <c r="D224" i="2"/>
  <c r="E224" i="2" s="1"/>
  <c r="D223" i="2"/>
  <c r="E223" i="2" s="1"/>
  <c r="D222" i="2"/>
  <c r="E222" i="2" s="1"/>
  <c r="D221" i="2"/>
  <c r="E221" i="2" s="1"/>
  <c r="D220" i="2"/>
  <c r="E220" i="2" s="1"/>
  <c r="D219" i="2"/>
  <c r="E219" i="2" s="1"/>
  <c r="D218" i="2"/>
  <c r="E218" i="2" s="1"/>
  <c r="D217" i="2"/>
  <c r="E217" i="2" s="1"/>
  <c r="D216" i="2"/>
  <c r="E216" i="2" s="1"/>
  <c r="D215" i="2"/>
  <c r="E215" i="2" s="1"/>
  <c r="D214" i="2"/>
  <c r="E214" i="2" s="1"/>
  <c r="D213" i="2"/>
  <c r="E213" i="2" s="1"/>
  <c r="D212" i="2"/>
  <c r="E212" i="2" s="1"/>
  <c r="D211" i="2"/>
  <c r="E211" i="2" s="1"/>
  <c r="D210" i="2"/>
  <c r="E210" i="2" s="1"/>
  <c r="D209" i="2"/>
  <c r="E209" i="2" s="1"/>
  <c r="D208" i="2"/>
  <c r="E208" i="2" s="1"/>
  <c r="D207" i="2"/>
  <c r="E207" i="2" s="1"/>
  <c r="D206" i="2"/>
  <c r="E206" i="2" s="1"/>
  <c r="D205" i="2"/>
  <c r="E205" i="2" s="1"/>
  <c r="D204" i="2"/>
  <c r="E204" i="2" s="1"/>
  <c r="D203" i="2"/>
  <c r="E203" i="2" s="1"/>
  <c r="D202" i="2"/>
  <c r="E202" i="2" s="1"/>
  <c r="D201" i="2"/>
  <c r="E201" i="2" s="1"/>
  <c r="D200" i="2"/>
  <c r="E200" i="2" s="1"/>
  <c r="D199" i="2"/>
  <c r="E199" i="2" s="1"/>
  <c r="D198" i="2"/>
  <c r="E198" i="2" s="1"/>
  <c r="D197" i="2"/>
  <c r="E197" i="2" s="1"/>
  <c r="D196" i="2"/>
  <c r="E196" i="2" s="1"/>
  <c r="D195" i="2"/>
  <c r="E195" i="2" s="1"/>
  <c r="D194" i="2"/>
  <c r="E194" i="2" s="1"/>
  <c r="D193" i="2"/>
  <c r="E193" i="2" s="1"/>
  <c r="D192" i="2"/>
  <c r="E192" i="2" s="1"/>
  <c r="D191" i="2"/>
  <c r="E191" i="2" s="1"/>
  <c r="D190" i="2"/>
  <c r="E190" i="2" s="1"/>
  <c r="D189" i="2"/>
  <c r="E189" i="2" s="1"/>
  <c r="D188" i="2"/>
  <c r="E188" i="2" s="1"/>
  <c r="D187" i="2"/>
  <c r="E187" i="2" s="1"/>
  <c r="D186" i="2"/>
  <c r="E186" i="2" s="1"/>
  <c r="E185" i="2"/>
  <c r="D185" i="2"/>
  <c r="D184" i="2"/>
  <c r="E184" i="2" s="1"/>
  <c r="D183" i="2"/>
  <c r="E183" i="2" s="1"/>
  <c r="D182" i="2"/>
  <c r="E182" i="2" s="1"/>
  <c r="D181" i="2"/>
  <c r="E181" i="2" s="1"/>
  <c r="D180" i="2"/>
  <c r="E180" i="2" s="1"/>
  <c r="D179" i="2"/>
  <c r="E179" i="2" s="1"/>
  <c r="D178" i="2"/>
  <c r="E178" i="2" s="1"/>
  <c r="D177" i="2"/>
  <c r="E177" i="2" s="1"/>
  <c r="D176" i="2"/>
  <c r="E176" i="2" s="1"/>
  <c r="D175" i="2"/>
  <c r="E175" i="2" s="1"/>
  <c r="D174" i="2"/>
  <c r="E174" i="2" s="1"/>
  <c r="E173" i="2"/>
  <c r="D173" i="2"/>
  <c r="D172" i="2"/>
  <c r="E172" i="2" s="1"/>
  <c r="D171" i="2"/>
  <c r="E171" i="2" s="1"/>
  <c r="D170" i="2"/>
  <c r="E170" i="2" s="1"/>
  <c r="D169" i="2"/>
  <c r="E169" i="2" s="1"/>
  <c r="N168" i="2"/>
  <c r="D168" i="2"/>
  <c r="E168" i="2" s="1"/>
  <c r="M167" i="2"/>
  <c r="D167" i="2"/>
  <c r="E167" i="2" s="1"/>
  <c r="N166" i="2"/>
  <c r="D166" i="2"/>
  <c r="E166" i="2" s="1"/>
  <c r="M165" i="2"/>
  <c r="D165" i="2"/>
  <c r="E165" i="2" s="1"/>
  <c r="N164" i="2"/>
  <c r="D164" i="2"/>
  <c r="E164" i="2" s="1"/>
  <c r="M163" i="2"/>
  <c r="D163" i="2"/>
  <c r="E163" i="2" s="1"/>
  <c r="N162" i="2"/>
  <c r="D162" i="2"/>
  <c r="E162" i="2" s="1"/>
  <c r="M161" i="2"/>
  <c r="D161" i="2"/>
  <c r="E161" i="2" s="1"/>
  <c r="N160" i="2"/>
  <c r="D160" i="2"/>
  <c r="E160" i="2" s="1"/>
  <c r="M159" i="2"/>
  <c r="D159" i="2"/>
  <c r="E159" i="2" s="1"/>
  <c r="N158" i="2"/>
  <c r="D158" i="2"/>
  <c r="E158" i="2" s="1"/>
  <c r="M157" i="2"/>
  <c r="D157" i="2"/>
  <c r="E157" i="2" s="1"/>
  <c r="N156" i="2"/>
  <c r="D156" i="2"/>
  <c r="E156" i="2" s="1"/>
  <c r="M155" i="2"/>
  <c r="D155" i="2"/>
  <c r="E155" i="2" s="1"/>
  <c r="N154" i="2"/>
  <c r="D154" i="2"/>
  <c r="E154" i="2" s="1"/>
  <c r="M153" i="2"/>
  <c r="D153" i="2"/>
  <c r="E153" i="2" s="1"/>
  <c r="N152" i="2"/>
  <c r="D152" i="2"/>
  <c r="E152" i="2" s="1"/>
  <c r="M151" i="2"/>
  <c r="D151" i="2"/>
  <c r="E151" i="2" s="1"/>
  <c r="N150" i="2"/>
  <c r="D150" i="2"/>
  <c r="E150" i="2" s="1"/>
  <c r="M149" i="2"/>
  <c r="D149" i="2"/>
  <c r="E149" i="2" s="1"/>
  <c r="O148" i="2"/>
  <c r="D148" i="2"/>
  <c r="E148" i="2" s="1"/>
  <c r="N147" i="2"/>
  <c r="D147" i="2"/>
  <c r="E147" i="2" s="1"/>
  <c r="M146" i="2"/>
  <c r="D146" i="2"/>
  <c r="E146" i="2" s="1"/>
  <c r="O145" i="2"/>
  <c r="D145" i="2"/>
  <c r="E145" i="2" s="1"/>
  <c r="N144" i="2"/>
  <c r="D144" i="2"/>
  <c r="E144" i="2" s="1"/>
  <c r="M143" i="2"/>
  <c r="D143" i="2"/>
  <c r="E143" i="2" s="1"/>
  <c r="O142" i="2"/>
  <c r="D142" i="2"/>
  <c r="E142" i="2" s="1"/>
  <c r="N141" i="2"/>
  <c r="D141" i="2"/>
  <c r="E141" i="2" s="1"/>
  <c r="M140" i="2"/>
  <c r="D140" i="2"/>
  <c r="E140" i="2" s="1"/>
  <c r="O139" i="2"/>
  <c r="D139" i="2"/>
  <c r="E139" i="2" s="1"/>
  <c r="N138" i="2"/>
  <c r="D138" i="2"/>
  <c r="E138" i="2" s="1"/>
  <c r="M137" i="2"/>
  <c r="D137" i="2"/>
  <c r="E137" i="2" s="1"/>
  <c r="O136" i="2"/>
  <c r="D136" i="2"/>
  <c r="E136" i="2" s="1"/>
  <c r="N135" i="2"/>
  <c r="D135" i="2"/>
  <c r="E135" i="2" s="1"/>
  <c r="M134" i="2"/>
  <c r="D134" i="2"/>
  <c r="E134" i="2" s="1"/>
  <c r="O133" i="2"/>
  <c r="E133" i="2"/>
  <c r="D133" i="2"/>
  <c r="N132" i="2"/>
  <c r="D132" i="2"/>
  <c r="E132" i="2" s="1"/>
  <c r="M131" i="2"/>
  <c r="D131" i="2"/>
  <c r="E131" i="2" s="1"/>
  <c r="O130" i="2"/>
  <c r="D130" i="2"/>
  <c r="E130" i="2" s="1"/>
  <c r="N129" i="2"/>
  <c r="D129" i="2"/>
  <c r="E129" i="2" s="1"/>
  <c r="M128" i="2"/>
  <c r="D128" i="2"/>
  <c r="E128" i="2" s="1"/>
  <c r="O127" i="2"/>
  <c r="D127" i="2"/>
  <c r="E127" i="2" s="1"/>
  <c r="N126" i="2"/>
  <c r="D126" i="2"/>
  <c r="E126" i="2" s="1"/>
  <c r="M125" i="2"/>
  <c r="D125" i="2"/>
  <c r="E125" i="2" s="1"/>
  <c r="O124" i="2"/>
  <c r="D124" i="2"/>
  <c r="E124" i="2" s="1"/>
  <c r="N123" i="2"/>
  <c r="D123" i="2"/>
  <c r="E123" i="2" s="1"/>
  <c r="M122" i="2"/>
  <c r="D122" i="2"/>
  <c r="E122" i="2" s="1"/>
  <c r="N121" i="2"/>
  <c r="D121" i="2"/>
  <c r="E121" i="2" s="1"/>
  <c r="M120" i="2"/>
  <c r="D120" i="2"/>
  <c r="E120" i="2" s="1"/>
  <c r="P119" i="2"/>
  <c r="D119" i="2"/>
  <c r="E119" i="2" s="1"/>
  <c r="O118" i="2"/>
  <c r="D118" i="2"/>
  <c r="E118" i="2" s="1"/>
  <c r="N117" i="2"/>
  <c r="D117" i="2"/>
  <c r="E117" i="2" s="1"/>
  <c r="M116" i="2"/>
  <c r="D116" i="2"/>
  <c r="E116" i="2" s="1"/>
  <c r="P115" i="2"/>
  <c r="D115" i="2"/>
  <c r="E115" i="2" s="1"/>
  <c r="O114" i="2"/>
  <c r="D114" i="2"/>
  <c r="E114" i="2" s="1"/>
  <c r="N113" i="2"/>
  <c r="D113" i="2"/>
  <c r="E113" i="2" s="1"/>
  <c r="M112" i="2"/>
  <c r="D112" i="2"/>
  <c r="E112" i="2" s="1"/>
  <c r="Q111" i="2"/>
  <c r="D111" i="2"/>
  <c r="E111" i="2" s="1"/>
  <c r="O110" i="2"/>
  <c r="D110" i="2"/>
  <c r="E110" i="2" s="1"/>
  <c r="N109" i="2"/>
  <c r="D109" i="2"/>
  <c r="E109" i="2" s="1"/>
  <c r="M108" i="2"/>
  <c r="C108" i="2"/>
  <c r="Q107" i="2"/>
  <c r="C107" i="2"/>
  <c r="P106" i="2"/>
  <c r="I106" i="2"/>
  <c r="C106" i="2"/>
  <c r="O105" i="2"/>
  <c r="I105" i="2"/>
  <c r="C105" i="2"/>
  <c r="N104" i="2"/>
  <c r="I104" i="2"/>
  <c r="C104" i="2"/>
  <c r="M103" i="2"/>
  <c r="I103" i="2"/>
  <c r="C103" i="2"/>
  <c r="M102" i="2"/>
  <c r="I102" i="2"/>
  <c r="C102" i="2"/>
  <c r="N101" i="2"/>
  <c r="I101" i="2"/>
  <c r="C101" i="2"/>
  <c r="M100" i="2"/>
  <c r="I100" i="2"/>
  <c r="C100" i="2"/>
  <c r="N99" i="2"/>
  <c r="I99" i="2"/>
  <c r="I107" i="2" s="1"/>
  <c r="C99" i="2"/>
  <c r="M98" i="2"/>
  <c r="C98" i="2"/>
  <c r="N97" i="2"/>
  <c r="C97" i="2"/>
  <c r="M96" i="2"/>
  <c r="C96" i="2"/>
  <c r="O95" i="2"/>
  <c r="C95" i="2"/>
  <c r="N94" i="2"/>
  <c r="C94" i="2"/>
  <c r="M93" i="2"/>
  <c r="C93" i="2"/>
  <c r="P92" i="2"/>
  <c r="C92" i="2"/>
  <c r="O91" i="2"/>
  <c r="C91" i="2"/>
  <c r="N90" i="2"/>
  <c r="C90" i="2"/>
  <c r="M89" i="2"/>
  <c r="C89" i="2"/>
  <c r="M88" i="2"/>
  <c r="C88" i="2"/>
  <c r="M87" i="2"/>
  <c r="C87" i="2"/>
  <c r="M86" i="2"/>
  <c r="C86" i="2"/>
  <c r="M85" i="2"/>
  <c r="C85" i="2"/>
  <c r="M84" i="2"/>
  <c r="C84" i="2"/>
  <c r="M83" i="2"/>
  <c r="C83" i="2"/>
  <c r="M82" i="2"/>
  <c r="C82" i="2"/>
  <c r="M81" i="2"/>
  <c r="C81" i="2"/>
  <c r="M80" i="2"/>
  <c r="C80" i="2"/>
  <c r="M79" i="2"/>
  <c r="C79" i="2"/>
  <c r="M78" i="2"/>
  <c r="C78" i="2"/>
  <c r="M77" i="2"/>
  <c r="C77" i="2"/>
  <c r="M76" i="2"/>
  <c r="C76" i="2"/>
  <c r="M75" i="2"/>
  <c r="C75" i="2"/>
  <c r="Q74" i="2"/>
  <c r="C74" i="2"/>
  <c r="P73" i="2"/>
  <c r="C73" i="2"/>
  <c r="O72" i="2"/>
  <c r="C72" i="2"/>
  <c r="N71" i="2"/>
  <c r="C71" i="2"/>
  <c r="M70" i="2"/>
  <c r="C70" i="2"/>
  <c r="Q69" i="2"/>
  <c r="C69" i="2"/>
  <c r="P68" i="2"/>
  <c r="C68" i="2"/>
  <c r="O67" i="2"/>
  <c r="C67" i="2"/>
  <c r="N66" i="2"/>
  <c r="C66" i="2"/>
  <c r="M65" i="2"/>
  <c r="C65" i="2"/>
  <c r="P64" i="2"/>
  <c r="C64" i="2"/>
  <c r="O63" i="2"/>
  <c r="C63" i="2"/>
  <c r="N62" i="2"/>
  <c r="C62" i="2"/>
  <c r="M61" i="2"/>
  <c r="C61" i="2"/>
  <c r="P60" i="2"/>
  <c r="C60" i="2"/>
  <c r="O59" i="2"/>
  <c r="C59" i="2"/>
  <c r="N58" i="2"/>
  <c r="C58" i="2"/>
  <c r="M57" i="2"/>
  <c r="C57" i="2"/>
  <c r="O56" i="2"/>
  <c r="C56" i="2"/>
  <c r="N55" i="2"/>
  <c r="C55" i="2"/>
  <c r="M54" i="2"/>
  <c r="C54" i="2"/>
  <c r="O53" i="2"/>
  <c r="C53" i="2"/>
  <c r="N52" i="2"/>
  <c r="C52" i="2"/>
  <c r="M51" i="2"/>
  <c r="A51" i="2"/>
  <c r="O50" i="2"/>
  <c r="A50" i="2"/>
  <c r="N49" i="2"/>
  <c r="A49" i="2"/>
  <c r="M48" i="2"/>
  <c r="A48" i="2"/>
  <c r="N47" i="2"/>
  <c r="A47" i="2"/>
  <c r="M46" i="2"/>
  <c r="A46" i="2"/>
  <c r="N45" i="2"/>
  <c r="A45" i="2"/>
  <c r="M44" i="2"/>
  <c r="A44" i="2"/>
  <c r="R43" i="2"/>
  <c r="A43" i="2"/>
  <c r="Q42" i="2"/>
  <c r="A42" i="2"/>
  <c r="P41" i="2"/>
  <c r="A41" i="2"/>
  <c r="O40" i="2"/>
  <c r="A40" i="2"/>
  <c r="N39" i="2"/>
  <c r="M38" i="2"/>
  <c r="R37" i="2"/>
  <c r="Q36" i="2"/>
  <c r="D36" i="2"/>
  <c r="P35" i="2"/>
  <c r="D35" i="2"/>
  <c r="O34" i="2"/>
  <c r="D34" i="2"/>
  <c r="N33" i="2"/>
  <c r="D33" i="2"/>
  <c r="M32" i="2"/>
  <c r="D32" i="2"/>
  <c r="R31" i="2"/>
  <c r="D31" i="2"/>
  <c r="Q30" i="2"/>
  <c r="D30" i="2"/>
  <c r="B30" i="2"/>
  <c r="A30" i="2"/>
  <c r="C30" i="2" s="1"/>
  <c r="P29" i="2"/>
  <c r="D29" i="2"/>
  <c r="A29" i="2"/>
  <c r="O28" i="2"/>
  <c r="D28" i="2"/>
  <c r="A28" i="2"/>
  <c r="N27" i="2"/>
  <c r="E27" i="2"/>
  <c r="D27" i="2"/>
  <c r="A27" i="2"/>
  <c r="M26" i="2"/>
  <c r="E26" i="2"/>
  <c r="D26" i="2"/>
  <c r="B26" i="2"/>
  <c r="A26" i="2"/>
  <c r="C26" i="2" s="1"/>
  <c r="Q25" i="2"/>
  <c r="D25" i="2"/>
  <c r="A25" i="2"/>
  <c r="P24" i="2"/>
  <c r="F24" i="2"/>
  <c r="D24" i="2"/>
  <c r="A24" i="2"/>
  <c r="O23" i="2"/>
  <c r="F23" i="2"/>
  <c r="D23" i="2"/>
  <c r="N22" i="2"/>
  <c r="D22" i="2"/>
  <c r="M21" i="2"/>
  <c r="D21" i="2"/>
  <c r="P20" i="2"/>
  <c r="O19" i="2"/>
  <c r="N18" i="2"/>
  <c r="M17" i="2"/>
  <c r="P16" i="2"/>
  <c r="F16" i="2"/>
  <c r="D16" i="2"/>
  <c r="O15" i="2"/>
  <c r="D15" i="2"/>
  <c r="N14" i="2"/>
  <c r="D14" i="2"/>
  <c r="M13" i="2"/>
  <c r="D13" i="2"/>
  <c r="O12" i="2"/>
  <c r="D12" i="2"/>
  <c r="N11" i="2"/>
  <c r="F11" i="2"/>
  <c r="M10" i="2"/>
  <c r="N9" i="2"/>
  <c r="F9" i="2"/>
  <c r="M8" i="2"/>
  <c r="D8" i="2"/>
  <c r="F7" i="2"/>
  <c r="D7" i="2"/>
  <c r="D6" i="2"/>
  <c r="R5" i="2"/>
  <c r="K6" i="2" s="1"/>
  <c r="Q5" i="2"/>
  <c r="K5" i="2" s="1"/>
  <c r="P5" i="2"/>
  <c r="K4" i="2" s="1"/>
  <c r="O5" i="2"/>
  <c r="K3" i="2" s="1"/>
  <c r="N5" i="2"/>
  <c r="K2" i="2" s="1"/>
  <c r="M5" i="2"/>
  <c r="K1" i="2" s="1"/>
  <c r="F5" i="2"/>
  <c r="F4" i="2"/>
  <c r="F2" i="2"/>
  <c r="C29" i="2" l="1"/>
  <c r="B29" i="2"/>
  <c r="B28" i="2"/>
  <c r="C28" i="2"/>
  <c r="B27" i="2"/>
  <c r="C27" i="2"/>
  <c r="B25" i="2"/>
  <c r="C25" i="2"/>
  <c r="B24" i="2"/>
  <c r="C24" i="2"/>
</calcChain>
</file>

<file path=xl/sharedStrings.xml><?xml version="1.0" encoding="utf-8"?>
<sst xmlns="http://schemas.openxmlformats.org/spreadsheetml/2006/main" count="3502" uniqueCount="1446">
  <si>
    <t>Part Number</t>
  </si>
  <si>
    <t>Part Name</t>
  </si>
  <si>
    <t>Unit Cost</t>
  </si>
  <si>
    <t>Sell Price</t>
  </si>
  <si>
    <t>Vendors</t>
  </si>
  <si>
    <t>062GP</t>
  </si>
  <si>
    <t>Polyurethane Rod Seal</t>
  </si>
  <si>
    <t>062GV</t>
  </si>
  <si>
    <t>Viton Rod Seal</t>
  </si>
  <si>
    <t>062RWP</t>
  </si>
  <si>
    <t>Polyurethane Rod Wiper</t>
  </si>
  <si>
    <t>062RWV</t>
  </si>
  <si>
    <t>Viton Rod Wiper</t>
  </si>
  <si>
    <t>100GP</t>
  </si>
  <si>
    <t>100GV</t>
  </si>
  <si>
    <t>100RWP</t>
  </si>
  <si>
    <t>100RWV</t>
  </si>
  <si>
    <t>138GP</t>
  </si>
  <si>
    <t>138GV</t>
  </si>
  <si>
    <t>138RWP</t>
  </si>
  <si>
    <t>138RWV</t>
  </si>
  <si>
    <t>175GP</t>
  </si>
  <si>
    <t>175GV</t>
  </si>
  <si>
    <t>175RWP</t>
  </si>
  <si>
    <t>175RWV</t>
  </si>
  <si>
    <t>200GP</t>
  </si>
  <si>
    <t>200GV</t>
  </si>
  <si>
    <t>200RWP</t>
  </si>
  <si>
    <t>200RWV</t>
  </si>
  <si>
    <t>250GP</t>
  </si>
  <si>
    <t>250GV</t>
  </si>
  <si>
    <t>250RWP</t>
  </si>
  <si>
    <t>250RWV</t>
  </si>
  <si>
    <t>300GP</t>
  </si>
  <si>
    <t>300GV</t>
  </si>
  <si>
    <t>300RWP</t>
  </si>
  <si>
    <t>300RWV</t>
  </si>
  <si>
    <t>350GP</t>
  </si>
  <si>
    <t>350GV</t>
  </si>
  <si>
    <t>350RWP</t>
  </si>
  <si>
    <t>350RWV</t>
  </si>
  <si>
    <t>400GP</t>
  </si>
  <si>
    <t>400GV</t>
  </si>
  <si>
    <t>400RWP</t>
  </si>
  <si>
    <t>400RWV</t>
  </si>
  <si>
    <t>450GP</t>
  </si>
  <si>
    <t>450GV</t>
  </si>
  <si>
    <t>450RWP</t>
  </si>
  <si>
    <t>450RWV</t>
  </si>
  <si>
    <t>500GP</t>
  </si>
  <si>
    <t>500GV</t>
  </si>
  <si>
    <t>500RWP</t>
  </si>
  <si>
    <t>500RWV</t>
  </si>
  <si>
    <t>550GP</t>
  </si>
  <si>
    <t>550GV</t>
  </si>
  <si>
    <t>550RWP</t>
  </si>
  <si>
    <t>550RWV</t>
  </si>
  <si>
    <t>A15B</t>
  </si>
  <si>
    <t>Barrel</t>
  </si>
  <si>
    <t>A15BB</t>
  </si>
  <si>
    <t>Air Nitrile Barrel Seal</t>
  </si>
  <si>
    <t>A15BV</t>
  </si>
  <si>
    <t>Air Viton Barrel Seal</t>
  </si>
  <si>
    <t>A15CEH</t>
  </si>
  <si>
    <t>Air BEH Head</t>
  </si>
  <si>
    <t>A15CEHTT</t>
  </si>
  <si>
    <t>A15MF1</t>
  </si>
  <si>
    <t>Air MF1</t>
  </si>
  <si>
    <t>A15MF2</t>
  </si>
  <si>
    <t>Air MF2</t>
  </si>
  <si>
    <t>A15MF5</t>
  </si>
  <si>
    <t>Air MF5</t>
  </si>
  <si>
    <t>A15MF6</t>
  </si>
  <si>
    <t>Air MF6</t>
  </si>
  <si>
    <t>A15MP1</t>
  </si>
  <si>
    <t>A15MP2</t>
  </si>
  <si>
    <t>A15MP3</t>
  </si>
  <si>
    <t>A15MPU3</t>
  </si>
  <si>
    <t>A15MS2CEH</t>
  </si>
  <si>
    <t>A15MS2REH</t>
  </si>
  <si>
    <t>Air REH Head</t>
  </si>
  <si>
    <t>A15MT1</t>
  </si>
  <si>
    <t>A15MT2</t>
  </si>
  <si>
    <t>A15MT4</t>
  </si>
  <si>
    <t>Air MT4</t>
  </si>
  <si>
    <t>A15P062</t>
  </si>
  <si>
    <t>Air Piston</t>
  </si>
  <si>
    <t>A15P100</t>
  </si>
  <si>
    <t>A15PB</t>
  </si>
  <si>
    <t>Air Nitrile Piston Seal</t>
  </si>
  <si>
    <t>A15PL</t>
  </si>
  <si>
    <t>Air Low Friction Piston Seal</t>
  </si>
  <si>
    <t>A15PV</t>
  </si>
  <si>
    <t>Air Viton Piston Seal</t>
  </si>
  <si>
    <t>A15REH062</t>
  </si>
  <si>
    <t>A15REH100</t>
  </si>
  <si>
    <t>A20B</t>
  </si>
  <si>
    <t>A20BB</t>
  </si>
  <si>
    <t>A20BV</t>
  </si>
  <si>
    <t>A20CEH</t>
  </si>
  <si>
    <t>A20CEHTT</t>
  </si>
  <si>
    <t>A20MF1</t>
  </si>
  <si>
    <t>A20MF2</t>
  </si>
  <si>
    <t>A20MF5</t>
  </si>
  <si>
    <t>A20MF6</t>
  </si>
  <si>
    <t>A20MP1</t>
  </si>
  <si>
    <t>A20MP2</t>
  </si>
  <si>
    <t>A20MP3</t>
  </si>
  <si>
    <t>A20MPU3</t>
  </si>
  <si>
    <t>A20MS2CEH</t>
  </si>
  <si>
    <t>A20MS2REH</t>
  </si>
  <si>
    <t>A20MT1</t>
  </si>
  <si>
    <t>A20MT2</t>
  </si>
  <si>
    <t>A20MT4</t>
  </si>
  <si>
    <t>A20P062</t>
  </si>
  <si>
    <t>A20P100</t>
  </si>
  <si>
    <t>A20P137</t>
  </si>
  <si>
    <t>A20PB</t>
  </si>
  <si>
    <t>A20PL</t>
  </si>
  <si>
    <t>A20PV</t>
  </si>
  <si>
    <t>A20REH062</t>
  </si>
  <si>
    <t>A20REH100</t>
  </si>
  <si>
    <t>A20REH137</t>
  </si>
  <si>
    <t>A25B</t>
  </si>
  <si>
    <t>A25BB</t>
  </si>
  <si>
    <t>A25BV</t>
  </si>
  <si>
    <t>A25CEH</t>
  </si>
  <si>
    <t>A25CEHTT</t>
  </si>
  <si>
    <t>A25MF1</t>
  </si>
  <si>
    <t>A25MF2</t>
  </si>
  <si>
    <t>A25MF5</t>
  </si>
  <si>
    <t>A25MF6</t>
  </si>
  <si>
    <t>A25MP1</t>
  </si>
  <si>
    <t>A25MP2</t>
  </si>
  <si>
    <t>A25MP3</t>
  </si>
  <si>
    <t>A25MPU3</t>
  </si>
  <si>
    <t>A25MS2CEH</t>
  </si>
  <si>
    <t>A25MS2REH</t>
  </si>
  <si>
    <t>A25MT1</t>
  </si>
  <si>
    <t>A25MT2</t>
  </si>
  <si>
    <t>A25MT4</t>
  </si>
  <si>
    <t>A25P062</t>
  </si>
  <si>
    <t>A25P100</t>
  </si>
  <si>
    <t>A25P137</t>
  </si>
  <si>
    <t>A25P175</t>
  </si>
  <si>
    <t>A25PB</t>
  </si>
  <si>
    <t>A25PL</t>
  </si>
  <si>
    <t>A25PV</t>
  </si>
  <si>
    <t>A25REH062</t>
  </si>
  <si>
    <t>A25REH100</t>
  </si>
  <si>
    <t>A25REH137</t>
  </si>
  <si>
    <t>A25REH175</t>
  </si>
  <si>
    <t>A32B</t>
  </si>
  <si>
    <t>A32BB</t>
  </si>
  <si>
    <t>A32BV</t>
  </si>
  <si>
    <t>A32CEH</t>
  </si>
  <si>
    <t>A32CEHTT</t>
  </si>
  <si>
    <t>A32MF1</t>
  </si>
  <si>
    <t>A32MF2</t>
  </si>
  <si>
    <t>A32MF5</t>
  </si>
  <si>
    <t>A32MF6</t>
  </si>
  <si>
    <t>A32MP1</t>
  </si>
  <si>
    <t>A32MP2</t>
  </si>
  <si>
    <t>A32MP3</t>
  </si>
  <si>
    <t>A32MPU3</t>
  </si>
  <si>
    <t>A32MS2CEH</t>
  </si>
  <si>
    <t>A32MS2REH</t>
  </si>
  <si>
    <t>A32MT1</t>
  </si>
  <si>
    <t>A32MT2</t>
  </si>
  <si>
    <t>A32MT4</t>
  </si>
  <si>
    <t>A32P100</t>
  </si>
  <si>
    <t>A32P137</t>
  </si>
  <si>
    <t>A32P175</t>
  </si>
  <si>
    <t>A32P200</t>
  </si>
  <si>
    <t>A32PB</t>
  </si>
  <si>
    <t>A32PL</t>
  </si>
  <si>
    <t>A32PV</t>
  </si>
  <si>
    <t>A32REH100</t>
  </si>
  <si>
    <t>A32REH137</t>
  </si>
  <si>
    <t>A32REH175</t>
  </si>
  <si>
    <t>A32REH200</t>
  </si>
  <si>
    <t>A40B</t>
  </si>
  <si>
    <t>A40BB</t>
  </si>
  <si>
    <t>A40BV</t>
  </si>
  <si>
    <t>A40CEH</t>
  </si>
  <si>
    <t>A40MF1</t>
  </si>
  <si>
    <t>A40MF2</t>
  </si>
  <si>
    <t>A40MF5</t>
  </si>
  <si>
    <t>A40MF6</t>
  </si>
  <si>
    <t>A40MP1</t>
  </si>
  <si>
    <t>A40MP2</t>
  </si>
  <si>
    <t>A40MP3</t>
  </si>
  <si>
    <t>A40MPU3</t>
  </si>
  <si>
    <t>A40MS2CEH</t>
  </si>
  <si>
    <t>A40MS2REH</t>
  </si>
  <si>
    <t>A40MT1</t>
  </si>
  <si>
    <t>A40MT2</t>
  </si>
  <si>
    <t>A40MT4</t>
  </si>
  <si>
    <t>A40P100</t>
  </si>
  <si>
    <t>A40P137</t>
  </si>
  <si>
    <t>A40P175</t>
  </si>
  <si>
    <t>A40P200</t>
  </si>
  <si>
    <t>A40PB</t>
  </si>
  <si>
    <t>A40PL</t>
  </si>
  <si>
    <t>A40PV</t>
  </si>
  <si>
    <t>A40REH100</t>
  </si>
  <si>
    <t>A40REH137</t>
  </si>
  <si>
    <t>A40REH175</t>
  </si>
  <si>
    <t>A40REH200</t>
  </si>
  <si>
    <t>A50B</t>
  </si>
  <si>
    <t>A50BB</t>
  </si>
  <si>
    <t>A50BV</t>
  </si>
  <si>
    <t>A50CEH</t>
  </si>
  <si>
    <t>A50MF1</t>
  </si>
  <si>
    <t>A50MF2</t>
  </si>
  <si>
    <t>A50MF5</t>
  </si>
  <si>
    <t>A50MF6</t>
  </si>
  <si>
    <t>A50MP1</t>
  </si>
  <si>
    <t>A50MP2</t>
  </si>
  <si>
    <t>A50MP3</t>
  </si>
  <si>
    <t>A50MPU3</t>
  </si>
  <si>
    <t>A50MS2CEH</t>
  </si>
  <si>
    <t>A50MS2REH</t>
  </si>
  <si>
    <t>A50MT1</t>
  </si>
  <si>
    <t>A50MT2</t>
  </si>
  <si>
    <t>A50MT4</t>
  </si>
  <si>
    <t>A50P100</t>
  </si>
  <si>
    <t>A50P137</t>
  </si>
  <si>
    <t>A50P175</t>
  </si>
  <si>
    <t>A50P200</t>
  </si>
  <si>
    <t>A50PB</t>
  </si>
  <si>
    <t>A50PL</t>
  </si>
  <si>
    <t>A50PV</t>
  </si>
  <si>
    <t>A50REH100</t>
  </si>
  <si>
    <t>A50REH137</t>
  </si>
  <si>
    <t>A50REH175</t>
  </si>
  <si>
    <t>A50REH200</t>
  </si>
  <si>
    <t>A60B</t>
  </si>
  <si>
    <t>A60BB</t>
  </si>
  <si>
    <t>A60BV</t>
  </si>
  <si>
    <t>A60CEH</t>
  </si>
  <si>
    <t>A60MF1</t>
  </si>
  <si>
    <t>A60MF2</t>
  </si>
  <si>
    <t>A60MF5</t>
  </si>
  <si>
    <t>A60MF6</t>
  </si>
  <si>
    <t>A60MP1</t>
  </si>
  <si>
    <t>A60MP2</t>
  </si>
  <si>
    <t>A60MP3</t>
  </si>
  <si>
    <t>A60MPU3</t>
  </si>
  <si>
    <t>A60MS2CEH</t>
  </si>
  <si>
    <t>A60MS2REH</t>
  </si>
  <si>
    <t>A60MT1</t>
  </si>
  <si>
    <t>A60MT2</t>
  </si>
  <si>
    <t>A60MT4</t>
  </si>
  <si>
    <t>A60P137</t>
  </si>
  <si>
    <t>A60P175</t>
  </si>
  <si>
    <t>A60P200</t>
  </si>
  <si>
    <t>A60P250</t>
  </si>
  <si>
    <t>A60PB</t>
  </si>
  <si>
    <t>A60PL</t>
  </si>
  <si>
    <t>A60PV</t>
  </si>
  <si>
    <t>A60REH137</t>
  </si>
  <si>
    <t>A60REH175</t>
  </si>
  <si>
    <t>A60REH200</t>
  </si>
  <si>
    <t>A60REH250</t>
  </si>
  <si>
    <t>A70B</t>
  </si>
  <si>
    <t>A70BB</t>
  </si>
  <si>
    <t>A70BV</t>
  </si>
  <si>
    <t>A70CEH</t>
  </si>
  <si>
    <t>A70ME3</t>
  </si>
  <si>
    <t>A70ME4</t>
  </si>
  <si>
    <t>A70MF1</t>
  </si>
  <si>
    <t>A70MF2</t>
  </si>
  <si>
    <t>A70MF5</t>
  </si>
  <si>
    <t>A70MF6</t>
  </si>
  <si>
    <t>A70MT4</t>
  </si>
  <si>
    <t>A70P137</t>
  </si>
  <si>
    <t>A70P175</t>
  </si>
  <si>
    <t>A70P200</t>
  </si>
  <si>
    <t>A70P250</t>
  </si>
  <si>
    <t>A70PB</t>
  </si>
  <si>
    <t>A70PL</t>
  </si>
  <si>
    <t>A70PV</t>
  </si>
  <si>
    <t>A70REH137</t>
  </si>
  <si>
    <t>A70REH175</t>
  </si>
  <si>
    <t>A70REH200</t>
  </si>
  <si>
    <t>A70REH250</t>
  </si>
  <si>
    <t>A80B</t>
  </si>
  <si>
    <t>A80BB</t>
  </si>
  <si>
    <t>A80BV</t>
  </si>
  <si>
    <t>A80CEH</t>
  </si>
  <si>
    <t>A80ME3</t>
  </si>
  <si>
    <t>A80ME4</t>
  </si>
  <si>
    <t>A80MF1</t>
  </si>
  <si>
    <t>A80MF2</t>
  </si>
  <si>
    <t>A80MF5</t>
  </si>
  <si>
    <t>A80MF6</t>
  </si>
  <si>
    <t>A80MP1</t>
  </si>
  <si>
    <t>A80MP2</t>
  </si>
  <si>
    <t>A80MP3</t>
  </si>
  <si>
    <t>A80MPU3</t>
  </si>
  <si>
    <t>A80MS2CEH</t>
  </si>
  <si>
    <t>A80MS2REH</t>
  </si>
  <si>
    <t>A80MT1</t>
  </si>
  <si>
    <t>A80MT2</t>
  </si>
  <si>
    <t>A80MT4</t>
  </si>
  <si>
    <t>A80P137</t>
  </si>
  <si>
    <t>A80P175</t>
  </si>
  <si>
    <t>A80P200</t>
  </si>
  <si>
    <t>A80P250</t>
  </si>
  <si>
    <t>A80PB</t>
  </si>
  <si>
    <t>A80PL</t>
  </si>
  <si>
    <t>A80PV</t>
  </si>
  <si>
    <t>A80REH137</t>
  </si>
  <si>
    <t>A80REH175</t>
  </si>
  <si>
    <t>A80REH200</t>
  </si>
  <si>
    <t>A80REH250</t>
  </si>
  <si>
    <t>AB</t>
  </si>
  <si>
    <t>Air Bleed</t>
  </si>
  <si>
    <t>AC044</t>
  </si>
  <si>
    <t>Alignment Coupler 7/16-20</t>
  </si>
  <si>
    <t>AC050</t>
  </si>
  <si>
    <t>Alignment Coupler 1/2-20</t>
  </si>
  <si>
    <t>AC075</t>
  </si>
  <si>
    <t>Alignment Coupler 3/4-16</t>
  </si>
  <si>
    <t>AC087</t>
  </si>
  <si>
    <t>Alignment Coupler 7/8-14</t>
  </si>
  <si>
    <t>AC100</t>
  </si>
  <si>
    <t>Alignment Coupler 1-14</t>
  </si>
  <si>
    <t>AC125</t>
  </si>
  <si>
    <t>Alignment Coupler 1 1/4-12</t>
  </si>
  <si>
    <t>AC150</t>
  </si>
  <si>
    <t>Alignment Coupler 1 1/2-12</t>
  </si>
  <si>
    <t>AC175</t>
  </si>
  <si>
    <t>Alignment Coupler 1 3/4-12</t>
  </si>
  <si>
    <t>AC187</t>
  </si>
  <si>
    <t>Alignment Coupler 1 7/8-12</t>
  </si>
  <si>
    <t>AC225</t>
  </si>
  <si>
    <t>Alignment Coupler 2 1/4</t>
  </si>
  <si>
    <t>AC250</t>
  </si>
  <si>
    <t>Alignment Coupler 2 1/2</t>
  </si>
  <si>
    <t>ACC062</t>
  </si>
  <si>
    <t>Air Cushion Collar</t>
  </si>
  <si>
    <t>ACC100</t>
  </si>
  <si>
    <t>ACC138</t>
  </si>
  <si>
    <t>ACC175</t>
  </si>
  <si>
    <t>ACC200</t>
  </si>
  <si>
    <t>ACC250</t>
  </si>
  <si>
    <t>Safety Coupler</t>
  </si>
  <si>
    <t>CB050</t>
  </si>
  <si>
    <t>Clevis Bracket 1/2</t>
  </si>
  <si>
    <t>CB075</t>
  </si>
  <si>
    <t>Clevis Bracket 3/4</t>
  </si>
  <si>
    <t>CB100</t>
  </si>
  <si>
    <t>Clevis Bracket 1</t>
  </si>
  <si>
    <t>CB138</t>
  </si>
  <si>
    <t>Clevis Bracket 1 3/8</t>
  </si>
  <si>
    <t>CB175</t>
  </si>
  <si>
    <t>Clevis Bracket 1 3/4</t>
  </si>
  <si>
    <t>CB200</t>
  </si>
  <si>
    <t>Clevis Bracket 2</t>
  </si>
  <si>
    <t>CB250</t>
  </si>
  <si>
    <t>Clevis Bracket 2 1/2</t>
  </si>
  <si>
    <t>CB300</t>
  </si>
  <si>
    <t>Clevis Bracket 3</t>
  </si>
  <si>
    <t>CB400</t>
  </si>
  <si>
    <t>Clevis Bracket 4</t>
  </si>
  <si>
    <t>CSA</t>
  </si>
  <si>
    <t>150ADJSHORT</t>
  </si>
  <si>
    <t>CSAL</t>
  </si>
  <si>
    <t>150ADJLONG</t>
  </si>
  <si>
    <t>CSH</t>
  </si>
  <si>
    <t>H150SCREW</t>
  </si>
  <si>
    <t>CSH4</t>
  </si>
  <si>
    <t>H400LONG</t>
  </si>
  <si>
    <t>CSHL</t>
  </si>
  <si>
    <t>Cushion Screw Long (Hyd)</t>
  </si>
  <si>
    <t>CSHN</t>
  </si>
  <si>
    <t>Cushion Screw Nut</t>
  </si>
  <si>
    <t>CSHN4</t>
  </si>
  <si>
    <t>Cushion Screw Nut Large</t>
  </si>
  <si>
    <t>EB050</t>
  </si>
  <si>
    <t>Eye Bracket</t>
  </si>
  <si>
    <t>EB075</t>
  </si>
  <si>
    <t>EB100</t>
  </si>
  <si>
    <t>EB138</t>
  </si>
  <si>
    <t>EB175</t>
  </si>
  <si>
    <t>EB200</t>
  </si>
  <si>
    <t>EB250</t>
  </si>
  <si>
    <t>EB300</t>
  </si>
  <si>
    <t>EB350</t>
  </si>
  <si>
    <t>EB400</t>
  </si>
  <si>
    <t>FE044</t>
  </si>
  <si>
    <t>Female Rod Eye 7/16-20</t>
  </si>
  <si>
    <t>FE050</t>
  </si>
  <si>
    <t>Female Rod Eye 1/2-20</t>
  </si>
  <si>
    <t>FE075</t>
  </si>
  <si>
    <t>Female Rod Eye 3/4-16</t>
  </si>
  <si>
    <t>FE087</t>
  </si>
  <si>
    <t>Female Rod Eye 7/8-14</t>
  </si>
  <si>
    <t>FE100</t>
  </si>
  <si>
    <t>Female Rod Eye 1-14</t>
  </si>
  <si>
    <t>FE125</t>
  </si>
  <si>
    <t>Female Rod Eye 1 1/4-12</t>
  </si>
  <si>
    <t>FE150</t>
  </si>
  <si>
    <t>Female Rod Eye 1 1/2-12</t>
  </si>
  <si>
    <t>FE175</t>
  </si>
  <si>
    <t>Female Rod Eye 1 3/4-12</t>
  </si>
  <si>
    <t>FE187</t>
  </si>
  <si>
    <t>Female Rod Eye 1 7/8-12</t>
  </si>
  <si>
    <t>FE225</t>
  </si>
  <si>
    <t>Female Rod Eye 2 1/4-12</t>
  </si>
  <si>
    <t>FE250</t>
  </si>
  <si>
    <t>Female Rod Eye 2 1/2-12</t>
  </si>
  <si>
    <t>FE275</t>
  </si>
  <si>
    <t>Female Rod Eye 2 3/4-12</t>
  </si>
  <si>
    <t>FE325</t>
  </si>
  <si>
    <t>Female Rod Eye 3 1/4-12</t>
  </si>
  <si>
    <t>FE350</t>
  </si>
  <si>
    <t>Female Rod Eye 3 1/2-12</t>
  </si>
  <si>
    <t>FE400</t>
  </si>
  <si>
    <t>Female Rod Eye 4-12</t>
  </si>
  <si>
    <t>G062</t>
  </si>
  <si>
    <t>Gland</t>
  </si>
  <si>
    <t>G062R</t>
  </si>
  <si>
    <t>Gland for Retainer</t>
  </si>
  <si>
    <t>G100</t>
  </si>
  <si>
    <t>G100R</t>
  </si>
  <si>
    <t>G138</t>
  </si>
  <si>
    <t>G138R</t>
  </si>
  <si>
    <t>G175</t>
  </si>
  <si>
    <t>G175R</t>
  </si>
  <si>
    <t>G200</t>
  </si>
  <si>
    <t>G200R</t>
  </si>
  <si>
    <t>G250</t>
  </si>
  <si>
    <t>G250R</t>
  </si>
  <si>
    <t>G300</t>
  </si>
  <si>
    <t>G350</t>
  </si>
  <si>
    <t>G400</t>
  </si>
  <si>
    <t>G450</t>
  </si>
  <si>
    <t>G500</t>
  </si>
  <si>
    <t>G550</t>
  </si>
  <si>
    <t>GAR150</t>
  </si>
  <si>
    <t>Air Retainer</t>
  </si>
  <si>
    <t>GAR200</t>
  </si>
  <si>
    <t>GAR250</t>
  </si>
  <si>
    <t>GAR325</t>
  </si>
  <si>
    <t>GAR400</t>
  </si>
  <si>
    <t>GAR500</t>
  </si>
  <si>
    <t>GAR600</t>
  </si>
  <si>
    <t>GAR800</t>
  </si>
  <si>
    <t>GBO062</t>
  </si>
  <si>
    <t>Nitrile Gland Oring Seal</t>
  </si>
  <si>
    <t>GBO100</t>
  </si>
  <si>
    <t>GBO138</t>
  </si>
  <si>
    <t>GBO175</t>
  </si>
  <si>
    <t>GBO200</t>
  </si>
  <si>
    <t>GBO250</t>
  </si>
  <si>
    <t>GBO300</t>
  </si>
  <si>
    <t>GBO350</t>
  </si>
  <si>
    <t>GBO400</t>
  </si>
  <si>
    <t>GBO450</t>
  </si>
  <si>
    <t>GBO500</t>
  </si>
  <si>
    <t>GBO550</t>
  </si>
  <si>
    <t>GHR150</t>
  </si>
  <si>
    <t>Hydraulic Retainer</t>
  </si>
  <si>
    <t>GHR200</t>
  </si>
  <si>
    <t>GHR250</t>
  </si>
  <si>
    <t>GHR325</t>
  </si>
  <si>
    <t>GHR400</t>
  </si>
  <si>
    <t>GHR500</t>
  </si>
  <si>
    <t>GHR600</t>
  </si>
  <si>
    <t>GHR700</t>
  </si>
  <si>
    <t>GHR800</t>
  </si>
  <si>
    <t>GTOB062</t>
  </si>
  <si>
    <t>Teflon Gland Oring Backup Seal</t>
  </si>
  <si>
    <t>GTOB100</t>
  </si>
  <si>
    <t>GTOB138</t>
  </si>
  <si>
    <t>GTOB175</t>
  </si>
  <si>
    <t>GTOB200</t>
  </si>
  <si>
    <t>GTOB250</t>
  </si>
  <si>
    <t>GTOB300</t>
  </si>
  <si>
    <t>GTOB350</t>
  </si>
  <si>
    <t>GTOB400</t>
  </si>
  <si>
    <t>GTOB450</t>
  </si>
  <si>
    <t>GTOB500</t>
  </si>
  <si>
    <t>GTOB550</t>
  </si>
  <si>
    <t>GVO062</t>
  </si>
  <si>
    <t>Viton Gland Oring Seal</t>
  </si>
  <si>
    <t>GVO100</t>
  </si>
  <si>
    <t>GVO138</t>
  </si>
  <si>
    <t>GVO175</t>
  </si>
  <si>
    <t>GVO200</t>
  </si>
  <si>
    <t>GVO250</t>
  </si>
  <si>
    <t>GVO300</t>
  </si>
  <si>
    <t>GVO350</t>
  </si>
  <si>
    <t>GVO400</t>
  </si>
  <si>
    <t>GVO450</t>
  </si>
  <si>
    <t>GVO500</t>
  </si>
  <si>
    <t>GVO550</t>
  </si>
  <si>
    <t>H15B</t>
  </si>
  <si>
    <t>H15BB</t>
  </si>
  <si>
    <t>H Nitrile Barrel Seal</t>
  </si>
  <si>
    <t>H15BV</t>
  </si>
  <si>
    <t>H Viton Barrel Seal</t>
  </si>
  <si>
    <t>H15CEH</t>
  </si>
  <si>
    <t>Hyd BEH Head</t>
  </si>
  <si>
    <t>H15CEHTT</t>
  </si>
  <si>
    <t>H15ME5</t>
  </si>
  <si>
    <t>Hyd REH Head</t>
  </si>
  <si>
    <t>H15ME6</t>
  </si>
  <si>
    <t>H15MF1</t>
  </si>
  <si>
    <t>H MF1</t>
  </si>
  <si>
    <t>H15MF2</t>
  </si>
  <si>
    <t>H MF2</t>
  </si>
  <si>
    <t>H15MF5</t>
  </si>
  <si>
    <t>H MF5</t>
  </si>
  <si>
    <t>H15MF6</t>
  </si>
  <si>
    <t>H MF6</t>
  </si>
  <si>
    <t>H15MP1</t>
  </si>
  <si>
    <t>H15MP2</t>
  </si>
  <si>
    <t>H15MP3</t>
  </si>
  <si>
    <t>H15MPU3</t>
  </si>
  <si>
    <t>H15MS2CEH</t>
  </si>
  <si>
    <t>H15MS2REH</t>
  </si>
  <si>
    <t>H15MT1</t>
  </si>
  <si>
    <t>H15MT2</t>
  </si>
  <si>
    <t>H15MT4</t>
  </si>
  <si>
    <t>H MT4</t>
  </si>
  <si>
    <t>H15P062</t>
  </si>
  <si>
    <t>H Piston</t>
  </si>
  <si>
    <t>H15P100</t>
  </si>
  <si>
    <t>H15PB</t>
  </si>
  <si>
    <t>H Nitrile/Buna Piston Seal</t>
  </si>
  <si>
    <t>H15PC</t>
  </si>
  <si>
    <t>H Cast Iron Piston Seal</t>
  </si>
  <si>
    <t>H15PL</t>
  </si>
  <si>
    <t>H Low Friction Piston Seal</t>
  </si>
  <si>
    <t>H15PP</t>
  </si>
  <si>
    <t>H Polyurethane Piston Seal</t>
  </si>
  <si>
    <t>H15PV</t>
  </si>
  <si>
    <t>H Viton Piston Seal</t>
  </si>
  <si>
    <t>H15REH062</t>
  </si>
  <si>
    <t>H15REH100</t>
  </si>
  <si>
    <t>H20B</t>
  </si>
  <si>
    <t>H20BB</t>
  </si>
  <si>
    <t>H20BV</t>
  </si>
  <si>
    <t>H20CEH</t>
  </si>
  <si>
    <t>H20CEHTT</t>
  </si>
  <si>
    <t>H20ME5</t>
  </si>
  <si>
    <t>H20ME6</t>
  </si>
  <si>
    <t>H20MF1</t>
  </si>
  <si>
    <t>H20MF2</t>
  </si>
  <si>
    <t>H20MF5</t>
  </si>
  <si>
    <t>H20MF6</t>
  </si>
  <si>
    <t>H20MP1</t>
  </si>
  <si>
    <t>H20MP2</t>
  </si>
  <si>
    <t>H20MP3</t>
  </si>
  <si>
    <t>H20MPU3</t>
  </si>
  <si>
    <t>H20MS2CEH</t>
  </si>
  <si>
    <t>H20MS2REH</t>
  </si>
  <si>
    <t>H20MT1</t>
  </si>
  <si>
    <t>H20MT2</t>
  </si>
  <si>
    <t>H20MT4</t>
  </si>
  <si>
    <t>H20P100</t>
  </si>
  <si>
    <t>H20P137</t>
  </si>
  <si>
    <t>H20PB</t>
  </si>
  <si>
    <t>H20PC</t>
  </si>
  <si>
    <t>H20PL</t>
  </si>
  <si>
    <t>H20PP</t>
  </si>
  <si>
    <t>H20PV</t>
  </si>
  <si>
    <t>H20REH100</t>
  </si>
  <si>
    <t>H20REH137</t>
  </si>
  <si>
    <t>H25B</t>
  </si>
  <si>
    <t>H25BB</t>
  </si>
  <si>
    <t>H25BV</t>
  </si>
  <si>
    <t>H25CEH</t>
  </si>
  <si>
    <t>H25CEHTT</t>
  </si>
  <si>
    <t>H25ME5</t>
  </si>
  <si>
    <t>H25ME6</t>
  </si>
  <si>
    <t>H25MF1</t>
  </si>
  <si>
    <t>H25MF2</t>
  </si>
  <si>
    <t>H25MF5</t>
  </si>
  <si>
    <t>H25MF6</t>
  </si>
  <si>
    <t>H25MP1</t>
  </si>
  <si>
    <t>H25MP2</t>
  </si>
  <si>
    <t>H25MP3</t>
  </si>
  <si>
    <t>H25MPU3</t>
  </si>
  <si>
    <t>H25MS2CEH</t>
  </si>
  <si>
    <t>H25MS2REH</t>
  </si>
  <si>
    <t>H25MT1</t>
  </si>
  <si>
    <t>H25MT2</t>
  </si>
  <si>
    <t>H25MT4</t>
  </si>
  <si>
    <t>H25P100</t>
  </si>
  <si>
    <t>H25P137</t>
  </si>
  <si>
    <t>H25P175</t>
  </si>
  <si>
    <t>H25PB</t>
  </si>
  <si>
    <t>H25PC</t>
  </si>
  <si>
    <t>H25PL</t>
  </si>
  <si>
    <t>H25PP</t>
  </si>
  <si>
    <t>H25PV</t>
  </si>
  <si>
    <t>H25REH100</t>
  </si>
  <si>
    <t>H25REH137</t>
  </si>
  <si>
    <t>H25REH175</t>
  </si>
  <si>
    <t>H32B</t>
  </si>
  <si>
    <t>H32BB</t>
  </si>
  <si>
    <t>H32BV</t>
  </si>
  <si>
    <t>H32CEH</t>
  </si>
  <si>
    <t>H32CEHTT</t>
  </si>
  <si>
    <t>H32ME5</t>
  </si>
  <si>
    <t>H32ME6</t>
  </si>
  <si>
    <t>H32MF1</t>
  </si>
  <si>
    <t>H32MF2</t>
  </si>
  <si>
    <t>H32MF5</t>
  </si>
  <si>
    <t>H32MF6</t>
  </si>
  <si>
    <t>H32MP1</t>
  </si>
  <si>
    <t>H32MP2</t>
  </si>
  <si>
    <t>H32MP3</t>
  </si>
  <si>
    <t>H32MPU3</t>
  </si>
  <si>
    <t>H32MS2CEH</t>
  </si>
  <si>
    <t>H32MS2REH</t>
  </si>
  <si>
    <t>H32MT1</t>
  </si>
  <si>
    <t>H32MT2</t>
  </si>
  <si>
    <t>H32MT4</t>
  </si>
  <si>
    <t>H32P137</t>
  </si>
  <si>
    <t>H32P175</t>
  </si>
  <si>
    <t>H32P200</t>
  </si>
  <si>
    <t>H32PB</t>
  </si>
  <si>
    <t>H32PC</t>
  </si>
  <si>
    <t>H32PL</t>
  </si>
  <si>
    <t>H32PP</t>
  </si>
  <si>
    <t>H32PV</t>
  </si>
  <si>
    <t>H32REH137</t>
  </si>
  <si>
    <t>H32REH175</t>
  </si>
  <si>
    <t>H32REH200</t>
  </si>
  <si>
    <t>H40B</t>
  </si>
  <si>
    <t>H40BB</t>
  </si>
  <si>
    <t>H40BV</t>
  </si>
  <si>
    <t>H40CEH</t>
  </si>
  <si>
    <t>H40CEHTT</t>
  </si>
  <si>
    <t>H40ME5</t>
  </si>
  <si>
    <t>H40ME6</t>
  </si>
  <si>
    <t>H40MF1</t>
  </si>
  <si>
    <t>H40MF2</t>
  </si>
  <si>
    <t>H40MF5</t>
  </si>
  <si>
    <t>H40MF6</t>
  </si>
  <si>
    <t>H40MP1</t>
  </si>
  <si>
    <t>H40MP2</t>
  </si>
  <si>
    <t>H40MP3</t>
  </si>
  <si>
    <t>H40MPU3</t>
  </si>
  <si>
    <t>H40MS2CEH</t>
  </si>
  <si>
    <t>H40MS2REH</t>
  </si>
  <si>
    <t>H40MT1</t>
  </si>
  <si>
    <t>H40MT2</t>
  </si>
  <si>
    <t>H40MT4</t>
  </si>
  <si>
    <t>H40P175</t>
  </si>
  <si>
    <t>H40P200</t>
  </si>
  <si>
    <t>H40P250</t>
  </si>
  <si>
    <t>H40PB</t>
  </si>
  <si>
    <t>H40PC</t>
  </si>
  <si>
    <t>H40PL</t>
  </si>
  <si>
    <t>H40PP</t>
  </si>
  <si>
    <t>H40PV</t>
  </si>
  <si>
    <t>H40REH175</t>
  </si>
  <si>
    <t>H40REH200</t>
  </si>
  <si>
    <t>H40REH250</t>
  </si>
  <si>
    <t>H50B</t>
  </si>
  <si>
    <t>H50BB</t>
  </si>
  <si>
    <t>H50BV</t>
  </si>
  <si>
    <t>H50CEH</t>
  </si>
  <si>
    <t>H50CEHTT</t>
  </si>
  <si>
    <t>H50ME5</t>
  </si>
  <si>
    <t>H50ME6</t>
  </si>
  <si>
    <t>H50MF1</t>
  </si>
  <si>
    <t>H50MF2</t>
  </si>
  <si>
    <t>H50MF5</t>
  </si>
  <si>
    <t>H50MF6</t>
  </si>
  <si>
    <t>H50MP1</t>
  </si>
  <si>
    <t>H50MP2</t>
  </si>
  <si>
    <t>H50MP3</t>
  </si>
  <si>
    <t>H50MS2CEH</t>
  </si>
  <si>
    <t>H50MS2REH</t>
  </si>
  <si>
    <t>H50MT1</t>
  </si>
  <si>
    <t>H50MT2</t>
  </si>
  <si>
    <t>H50MT4</t>
  </si>
  <si>
    <t>H50P200</t>
  </si>
  <si>
    <t>H50P250</t>
  </si>
  <si>
    <t>H50P300</t>
  </si>
  <si>
    <t>H50P350</t>
  </si>
  <si>
    <t>H50PB</t>
  </si>
  <si>
    <t>H50PC</t>
  </si>
  <si>
    <t>H50PL</t>
  </si>
  <si>
    <t>H50PP</t>
  </si>
  <si>
    <t>H50PV</t>
  </si>
  <si>
    <t>H50REH200</t>
  </si>
  <si>
    <t>H50REH250</t>
  </si>
  <si>
    <t>H50REH300</t>
  </si>
  <si>
    <t>H50REH350</t>
  </si>
  <si>
    <t>H60B</t>
  </si>
  <si>
    <t>H60BB</t>
  </si>
  <si>
    <t>H60BV</t>
  </si>
  <si>
    <t>H60CEH</t>
  </si>
  <si>
    <t>H60CEHTT</t>
  </si>
  <si>
    <t>H60ME5</t>
  </si>
  <si>
    <t>H60ME6</t>
  </si>
  <si>
    <t>H60MF1</t>
  </si>
  <si>
    <t>H60MF2</t>
  </si>
  <si>
    <t>H60MF5</t>
  </si>
  <si>
    <t>H60MF6</t>
  </si>
  <si>
    <t>H60MP1</t>
  </si>
  <si>
    <t>H60MP2</t>
  </si>
  <si>
    <t>H60MP3</t>
  </si>
  <si>
    <t>H60MS2CEH</t>
  </si>
  <si>
    <t>H60MS2REH</t>
  </si>
  <si>
    <t>H60MT1</t>
  </si>
  <si>
    <t>H60MT2</t>
  </si>
  <si>
    <t>H60MT4</t>
  </si>
  <si>
    <t>H60P250</t>
  </si>
  <si>
    <t>H60P300</t>
  </si>
  <si>
    <t>H60P350</t>
  </si>
  <si>
    <t>H60P400</t>
  </si>
  <si>
    <t>H60PB</t>
  </si>
  <si>
    <t>H60PC</t>
  </si>
  <si>
    <t>H60PL</t>
  </si>
  <si>
    <t>H60PP</t>
  </si>
  <si>
    <t>H60PV</t>
  </si>
  <si>
    <t>H60REH250</t>
  </si>
  <si>
    <t>H60REH300</t>
  </si>
  <si>
    <t>H60REH350</t>
  </si>
  <si>
    <t>H60REH400</t>
  </si>
  <si>
    <t>H70B</t>
  </si>
  <si>
    <t>H70BB</t>
  </si>
  <si>
    <t>H70BV</t>
  </si>
  <si>
    <t>H70CEH</t>
  </si>
  <si>
    <t>H70CEHTT</t>
  </si>
  <si>
    <t>H70ME3</t>
  </si>
  <si>
    <t>H70ME4</t>
  </si>
  <si>
    <t>H70ME5</t>
  </si>
  <si>
    <t>H70ME6</t>
  </si>
  <si>
    <t>H70MF1</t>
  </si>
  <si>
    <t>H70MF2</t>
  </si>
  <si>
    <t>H70MF5</t>
  </si>
  <si>
    <t>H70MF6</t>
  </si>
  <si>
    <t>H70MP1</t>
  </si>
  <si>
    <t>H70MP2</t>
  </si>
  <si>
    <t>H70MP3</t>
  </si>
  <si>
    <t>H70MS2CEH</t>
  </si>
  <si>
    <t>H70MS2REH</t>
  </si>
  <si>
    <t>H70MT1</t>
  </si>
  <si>
    <t>H70MT2</t>
  </si>
  <si>
    <t>H70MT4</t>
  </si>
  <si>
    <t>H70P300</t>
  </si>
  <si>
    <t>H70P350</t>
  </si>
  <si>
    <t>H70P400</t>
  </si>
  <si>
    <t>H70P450</t>
  </si>
  <si>
    <t>H70P500</t>
  </si>
  <si>
    <t>H70PB</t>
  </si>
  <si>
    <t>H70PC</t>
  </si>
  <si>
    <t>H70PL</t>
  </si>
  <si>
    <t>H70PP</t>
  </si>
  <si>
    <t>H70PV</t>
  </si>
  <si>
    <t>H70REH300</t>
  </si>
  <si>
    <t>H70REH350</t>
  </si>
  <si>
    <t>H70REH400</t>
  </si>
  <si>
    <t>H70REH450</t>
  </si>
  <si>
    <t>H70REH500</t>
  </si>
  <si>
    <t>H80B</t>
  </si>
  <si>
    <t>H80BB</t>
  </si>
  <si>
    <t>H80BV</t>
  </si>
  <si>
    <t>H80CEH</t>
  </si>
  <si>
    <t>H80CEHTT</t>
  </si>
  <si>
    <t>H80ME3</t>
  </si>
  <si>
    <t>H80ME4</t>
  </si>
  <si>
    <t>H80ME5</t>
  </si>
  <si>
    <t>H80ME6</t>
  </si>
  <si>
    <t>H80MF1</t>
  </si>
  <si>
    <t>H80MF2</t>
  </si>
  <si>
    <t>H80MF5</t>
  </si>
  <si>
    <t>H80MF6</t>
  </si>
  <si>
    <t>H80MP1</t>
  </si>
  <si>
    <t>H80MP2</t>
  </si>
  <si>
    <t>H80MP3</t>
  </si>
  <si>
    <t>H80MS2CEH</t>
  </si>
  <si>
    <t>H80MS2REH</t>
  </si>
  <si>
    <t>H80MT1</t>
  </si>
  <si>
    <t>H80MT2</t>
  </si>
  <si>
    <t>H80MT4</t>
  </si>
  <si>
    <t>H80P350</t>
  </si>
  <si>
    <t>H80P400</t>
  </si>
  <si>
    <t>H80P450</t>
  </si>
  <si>
    <t>H80P500</t>
  </si>
  <si>
    <t>H80P550</t>
  </si>
  <si>
    <t>H80PB</t>
  </si>
  <si>
    <t>H80PC</t>
  </si>
  <si>
    <t>H80PL</t>
  </si>
  <si>
    <t>H80PP</t>
  </si>
  <si>
    <t>H80PV</t>
  </si>
  <si>
    <t>H80REH350</t>
  </si>
  <si>
    <t>H80REH400</t>
  </si>
  <si>
    <t>H80REH450</t>
  </si>
  <si>
    <t>H80REH500</t>
  </si>
  <si>
    <t>H80REH550</t>
  </si>
  <si>
    <t>HCC062</t>
  </si>
  <si>
    <t>Hydraulic Cushion Collar</t>
  </si>
  <si>
    <t>HCC100</t>
  </si>
  <si>
    <t>HCC138</t>
  </si>
  <si>
    <t>HCC175</t>
  </si>
  <si>
    <t>HCC200</t>
  </si>
  <si>
    <t>HCC250</t>
  </si>
  <si>
    <t>HCC300</t>
  </si>
  <si>
    <t>HCC400</t>
  </si>
  <si>
    <t>HCC450</t>
  </si>
  <si>
    <t>HCC500</t>
  </si>
  <si>
    <t>HCC550</t>
  </si>
  <si>
    <t>JN044</t>
  </si>
  <si>
    <t>Jam Nut 7/16-20</t>
  </si>
  <si>
    <t>JN050</t>
  </si>
  <si>
    <t>Jam Nut 1/2-20</t>
  </si>
  <si>
    <t>JN075</t>
  </si>
  <si>
    <t>Jam Nut 3/4-16</t>
  </si>
  <si>
    <t>JN087</t>
  </si>
  <si>
    <t>Jam Nut 7/8-14</t>
  </si>
  <si>
    <t>JN100</t>
  </si>
  <si>
    <t>Jam Nut 1-14</t>
  </si>
  <si>
    <t>JN125</t>
  </si>
  <si>
    <t>Jam Nut 1 1/4-12</t>
  </si>
  <si>
    <t>JN150</t>
  </si>
  <si>
    <t>Jam Nut 1 1/2-12</t>
  </si>
  <si>
    <t>JN175</t>
  </si>
  <si>
    <t>Jam Nut 1 3/4-12</t>
  </si>
  <si>
    <t>JN187</t>
  </si>
  <si>
    <t>Jam Nut 1 7/8-12</t>
  </si>
  <si>
    <t>JN250</t>
  </si>
  <si>
    <t>Jam Nut 2 1/2</t>
  </si>
  <si>
    <t>JN300</t>
  </si>
  <si>
    <t>Jam Nut 3</t>
  </si>
  <si>
    <t>JN325</t>
  </si>
  <si>
    <t>Jam Nut 3 1/4</t>
  </si>
  <si>
    <t>KAG06</t>
  </si>
  <si>
    <t>Air Gland Nitrile Seal Kit</t>
  </si>
  <si>
    <t>KAG10</t>
  </si>
  <si>
    <t>KAG13</t>
  </si>
  <si>
    <t>KAG17</t>
  </si>
  <si>
    <t>KAG20</t>
  </si>
  <si>
    <t>KAG25</t>
  </si>
  <si>
    <t>KAG30</t>
  </si>
  <si>
    <t>KAG35</t>
  </si>
  <si>
    <t>KAG40</t>
  </si>
  <si>
    <t>KAGH06</t>
  </si>
  <si>
    <t>Air Gland HNBR Seal Kit</t>
  </si>
  <si>
    <t>KAGH10</t>
  </si>
  <si>
    <t>KAGH13</t>
  </si>
  <si>
    <t>KAGH17</t>
  </si>
  <si>
    <t>KAGH20</t>
  </si>
  <si>
    <t>KAGH25</t>
  </si>
  <si>
    <t>KAGH30</t>
  </si>
  <si>
    <t>KAGH35</t>
  </si>
  <si>
    <t>KAGH40</t>
  </si>
  <si>
    <t>KAGV06</t>
  </si>
  <si>
    <t>Air Gland Viton Seal Kit</t>
  </si>
  <si>
    <t>KAGV10</t>
  </si>
  <si>
    <t>KAGV13</t>
  </si>
  <si>
    <t>KAGV17</t>
  </si>
  <si>
    <t>KAGV20</t>
  </si>
  <si>
    <t>KAGV25</t>
  </si>
  <si>
    <t>KAGV30</t>
  </si>
  <si>
    <t>KAGV35</t>
  </si>
  <si>
    <t>KAGV40</t>
  </si>
  <si>
    <t>KAP100</t>
  </si>
  <si>
    <t>Air Piston Nitrile Seal Kit</t>
  </si>
  <si>
    <t>KAP120</t>
  </si>
  <si>
    <t>KAP140</t>
  </si>
  <si>
    <t>KAP15</t>
  </si>
  <si>
    <t>KAP20</t>
  </si>
  <si>
    <t>KAP25</t>
  </si>
  <si>
    <t>KAP32</t>
  </si>
  <si>
    <t>KAP40</t>
  </si>
  <si>
    <t>KAP50</t>
  </si>
  <si>
    <t>KAP60</t>
  </si>
  <si>
    <t>KAP70</t>
  </si>
  <si>
    <t>KAP80</t>
  </si>
  <si>
    <t>KAPH100</t>
  </si>
  <si>
    <t>Air Piston HNBR Seal Kit</t>
  </si>
  <si>
    <t>KAPH120</t>
  </si>
  <si>
    <t>KAPH140</t>
  </si>
  <si>
    <t>KAPH15</t>
  </si>
  <si>
    <t>KAPH20</t>
  </si>
  <si>
    <t>KAPH25</t>
  </si>
  <si>
    <t>KAPH32</t>
  </si>
  <si>
    <t>KAPH40</t>
  </si>
  <si>
    <t>KAPH50</t>
  </si>
  <si>
    <t>KAPH60</t>
  </si>
  <si>
    <t>KAPH70</t>
  </si>
  <si>
    <t>KAPH80</t>
  </si>
  <si>
    <t>KAPL100</t>
  </si>
  <si>
    <t>Air Piston Low Friction Seal Kit</t>
  </si>
  <si>
    <t>KAPL120</t>
  </si>
  <si>
    <t>KAPL140</t>
  </si>
  <si>
    <t>KAPL15</t>
  </si>
  <si>
    <t>KAPL20</t>
  </si>
  <si>
    <t>KAPL25</t>
  </si>
  <si>
    <t>KAPL32</t>
  </si>
  <si>
    <t>KAPL40</t>
  </si>
  <si>
    <t>KAPL50</t>
  </si>
  <si>
    <t>KAPL60</t>
  </si>
  <si>
    <t>KAPL70</t>
  </si>
  <si>
    <t>KAPL80</t>
  </si>
  <si>
    <t>KAPV100</t>
  </si>
  <si>
    <t>Air Piston Viton Seal Kit</t>
  </si>
  <si>
    <t>KAPV120</t>
  </si>
  <si>
    <t>KAPV140</t>
  </si>
  <si>
    <t>KAPV15</t>
  </si>
  <si>
    <t>KAPV20</t>
  </si>
  <si>
    <t>KAPV25</t>
  </si>
  <si>
    <t>KAPV32</t>
  </si>
  <si>
    <t>KAPV40</t>
  </si>
  <si>
    <t>KAPV50</t>
  </si>
  <si>
    <t>KAPV60</t>
  </si>
  <si>
    <t>KAPV70</t>
  </si>
  <si>
    <t>KAPV80</t>
  </si>
  <si>
    <t>KAR06</t>
  </si>
  <si>
    <t>Air Rod Nitrile Seal Kit</t>
  </si>
  <si>
    <t>KAR10</t>
  </si>
  <si>
    <t>KAR13</t>
  </si>
  <si>
    <t>KAR17</t>
  </si>
  <si>
    <t>KAR20</t>
  </si>
  <si>
    <t>KAR25</t>
  </si>
  <si>
    <t>KAR30</t>
  </si>
  <si>
    <t>KAR35</t>
  </si>
  <si>
    <t>KAR40</t>
  </si>
  <si>
    <t>KARL06</t>
  </si>
  <si>
    <t>Air Rod Low Friction Seal Kit</t>
  </si>
  <si>
    <t>KARL10</t>
  </si>
  <si>
    <t>KARL13</t>
  </si>
  <si>
    <t>KARL17</t>
  </si>
  <si>
    <t>KARL20</t>
  </si>
  <si>
    <t>KARL25</t>
  </si>
  <si>
    <t>KARL30</t>
  </si>
  <si>
    <t>KARL35</t>
  </si>
  <si>
    <t>KARL40</t>
  </si>
  <si>
    <t>KARV06</t>
  </si>
  <si>
    <t>Air Rod Viton Seal Kit</t>
  </si>
  <si>
    <t>KARV10</t>
  </si>
  <si>
    <t>KARV13</t>
  </si>
  <si>
    <t>KARV17</t>
  </si>
  <si>
    <t>KARV20</t>
  </si>
  <si>
    <t>KARV25</t>
  </si>
  <si>
    <t>KARV30</t>
  </si>
  <si>
    <t>KARV35</t>
  </si>
  <si>
    <t>KARV40</t>
  </si>
  <si>
    <t>KHG06</t>
  </si>
  <si>
    <t>Hyd Gland Poly Seal Kit</t>
  </si>
  <si>
    <t>KHG10</t>
  </si>
  <si>
    <t>KHG100</t>
  </si>
  <si>
    <t>KHG13</t>
  </si>
  <si>
    <t>KHG17</t>
  </si>
  <si>
    <t>KHG20</t>
  </si>
  <si>
    <t>KHG25</t>
  </si>
  <si>
    <t>KHG30</t>
  </si>
  <si>
    <t>KHG35</t>
  </si>
  <si>
    <t>KHG40</t>
  </si>
  <si>
    <t>KHG45</t>
  </si>
  <si>
    <t>KHG50</t>
  </si>
  <si>
    <t>KHG55</t>
  </si>
  <si>
    <t>KHG70</t>
  </si>
  <si>
    <t>KHG80</t>
  </si>
  <si>
    <t>KHGH06</t>
  </si>
  <si>
    <t>Hyd Gland HNBR Seal Kit</t>
  </si>
  <si>
    <t>KHGH10</t>
  </si>
  <si>
    <t>KHGH100</t>
  </si>
  <si>
    <t>KHGH13</t>
  </si>
  <si>
    <t>KHGH17</t>
  </si>
  <si>
    <t>KHGH20</t>
  </si>
  <si>
    <t>KHGH25</t>
  </si>
  <si>
    <t>KHGH30</t>
  </si>
  <si>
    <t>KHGH35</t>
  </si>
  <si>
    <t>KHGH40</t>
  </si>
  <si>
    <t>KHGH45</t>
  </si>
  <si>
    <t>KHGH50</t>
  </si>
  <si>
    <t>KHGH55</t>
  </si>
  <si>
    <t>KHGH70</t>
  </si>
  <si>
    <t>KHGH80</t>
  </si>
  <si>
    <t>KHGL06</t>
  </si>
  <si>
    <t>Hyd Gland Low Friction Seal Kit</t>
  </si>
  <si>
    <t>KHGL10</t>
  </si>
  <si>
    <t>KHGL100</t>
  </si>
  <si>
    <t>Hyd Gland Low Friction Seal Kit KHGL100</t>
  </si>
  <si>
    <t>KHGL13</t>
  </si>
  <si>
    <t>KHGL17</t>
  </si>
  <si>
    <t>KHGL20</t>
  </si>
  <si>
    <t>KHGL25</t>
  </si>
  <si>
    <t>KHGL30</t>
  </si>
  <si>
    <t>KHGL35</t>
  </si>
  <si>
    <t>KHGL40</t>
  </si>
  <si>
    <t>KHGL45</t>
  </si>
  <si>
    <t>KHGL50</t>
  </si>
  <si>
    <t>KHGL55</t>
  </si>
  <si>
    <t>KHGL70</t>
  </si>
  <si>
    <t>KHGL80</t>
  </si>
  <si>
    <t>KHGV06</t>
  </si>
  <si>
    <t>Hyd Gland Viton Seal Kit</t>
  </si>
  <si>
    <t>KHGV10</t>
  </si>
  <si>
    <t>KHGV100</t>
  </si>
  <si>
    <t>KHGV13</t>
  </si>
  <si>
    <t>KHGV17</t>
  </si>
  <si>
    <t>KHGV20</t>
  </si>
  <si>
    <t>KHGV25</t>
  </si>
  <si>
    <t>KHGV30</t>
  </si>
  <si>
    <t>KHGV35</t>
  </si>
  <si>
    <t>KHGV40</t>
  </si>
  <si>
    <t>KHGV45</t>
  </si>
  <si>
    <t>KHGV50</t>
  </si>
  <si>
    <t>KHGV55</t>
  </si>
  <si>
    <t>KHGV70</t>
  </si>
  <si>
    <t>KHGV80</t>
  </si>
  <si>
    <t>KHP100</t>
  </si>
  <si>
    <t>Hyd Piston Poly Seal Kit</t>
  </si>
  <si>
    <t>KHP120</t>
  </si>
  <si>
    <t>KHP140</t>
  </si>
  <si>
    <t>KHP15</t>
  </si>
  <si>
    <t>KHP160</t>
  </si>
  <si>
    <t>KHP180</t>
  </si>
  <si>
    <t>KHP20</t>
  </si>
  <si>
    <t>KHP200</t>
  </si>
  <si>
    <t>KHP25</t>
  </si>
  <si>
    <t>KHP32</t>
  </si>
  <si>
    <t>KHP40</t>
  </si>
  <si>
    <t>KHP50</t>
  </si>
  <si>
    <t>KHP60</t>
  </si>
  <si>
    <t>KHP70</t>
  </si>
  <si>
    <t>KHP80</t>
  </si>
  <si>
    <t>KHPC100</t>
  </si>
  <si>
    <t>Hyd Cast Iron Piston Seal Kit</t>
  </si>
  <si>
    <t>KHPC120</t>
  </si>
  <si>
    <t>KHPC140</t>
  </si>
  <si>
    <t>KHPC15</t>
  </si>
  <si>
    <t>KHPC160</t>
  </si>
  <si>
    <t>KHPC180</t>
  </si>
  <si>
    <t>KHPC20</t>
  </si>
  <si>
    <t>KHPC200</t>
  </si>
  <si>
    <t>KHPC25</t>
  </si>
  <si>
    <t>KHPC32</t>
  </si>
  <si>
    <t>KHPC40</t>
  </si>
  <si>
    <t>KHPC50</t>
  </si>
  <si>
    <t>KHPC60</t>
  </si>
  <si>
    <t>KHPC70</t>
  </si>
  <si>
    <t>KHPC80</t>
  </si>
  <si>
    <t>KHPH100</t>
  </si>
  <si>
    <t>Hyd Piston HNBR Seal Kit</t>
  </si>
  <si>
    <t>KHPH120</t>
  </si>
  <si>
    <t>KHPH140</t>
  </si>
  <si>
    <t>KHPH15</t>
  </si>
  <si>
    <t>KHPH160</t>
  </si>
  <si>
    <t>KHPH180</t>
  </si>
  <si>
    <t>KHPH20</t>
  </si>
  <si>
    <t>KHPH200</t>
  </si>
  <si>
    <t>KHPH25</t>
  </si>
  <si>
    <t>KHPH32</t>
  </si>
  <si>
    <t>KHPH40</t>
  </si>
  <si>
    <t>KHPH50</t>
  </si>
  <si>
    <t>KHPH60</t>
  </si>
  <si>
    <t>KHPH70</t>
  </si>
  <si>
    <t>KHPH80</t>
  </si>
  <si>
    <t>KHPL100</t>
  </si>
  <si>
    <t>Hyd Piston Low Friction Seal Kit</t>
  </si>
  <si>
    <t>KHPL120</t>
  </si>
  <si>
    <t>KHPL140</t>
  </si>
  <si>
    <t>KHPL15</t>
  </si>
  <si>
    <t>KHPL160</t>
  </si>
  <si>
    <t>Hyd Piston Low Friction Seal Kit KHPL160</t>
  </si>
  <si>
    <t>KHPL180</t>
  </si>
  <si>
    <t>KHPL20</t>
  </si>
  <si>
    <t>KHPL200</t>
  </si>
  <si>
    <t>KHPL25</t>
  </si>
  <si>
    <t>KHPL32</t>
  </si>
  <si>
    <t>KHPL40</t>
  </si>
  <si>
    <t>KHPL50</t>
  </si>
  <si>
    <t>KHPL60</t>
  </si>
  <si>
    <t>KHPL70</t>
  </si>
  <si>
    <t>KHPL80</t>
  </si>
  <si>
    <t>KHPV100</t>
  </si>
  <si>
    <t>Hyd Piston Viton Seal Kit</t>
  </si>
  <si>
    <t>KHPV120</t>
  </si>
  <si>
    <t>KHPV140</t>
  </si>
  <si>
    <t>KHPV15</t>
  </si>
  <si>
    <t>KHPV160</t>
  </si>
  <si>
    <t>KHPV180</t>
  </si>
  <si>
    <t>KHPV20</t>
  </si>
  <si>
    <t>KHPV200</t>
  </si>
  <si>
    <t>KHPV25</t>
  </si>
  <si>
    <t>KHPV32</t>
  </si>
  <si>
    <t>KHPV40</t>
  </si>
  <si>
    <t>KHPV50</t>
  </si>
  <si>
    <t>KHPV60</t>
  </si>
  <si>
    <t>KHPV70</t>
  </si>
  <si>
    <t>KHPV80</t>
  </si>
  <si>
    <t>KHR06</t>
  </si>
  <si>
    <t>Hyd Rod Poly Seal Kit</t>
  </si>
  <si>
    <t>KHR10</t>
  </si>
  <si>
    <t>KHR100</t>
  </si>
  <si>
    <t>KHR13</t>
  </si>
  <si>
    <t>KHR17</t>
  </si>
  <si>
    <t>KHR20</t>
  </si>
  <si>
    <t>KHR25</t>
  </si>
  <si>
    <t>KHR30</t>
  </si>
  <si>
    <t>KHR35</t>
  </si>
  <si>
    <t>KHR40</t>
  </si>
  <si>
    <t>KHR45</t>
  </si>
  <si>
    <t>KHR50</t>
  </si>
  <si>
    <t>KHR55</t>
  </si>
  <si>
    <t>KHR70</t>
  </si>
  <si>
    <t>KHR80</t>
  </si>
  <si>
    <t>KHRH06</t>
  </si>
  <si>
    <t>Hyd Rod HNBR Seal Kit</t>
  </si>
  <si>
    <t>KHRH10</t>
  </si>
  <si>
    <t>KHRH100</t>
  </si>
  <si>
    <t>KHRH13</t>
  </si>
  <si>
    <t>KHRH17</t>
  </si>
  <si>
    <t>KHRH20</t>
  </si>
  <si>
    <t>KHRH25</t>
  </si>
  <si>
    <t>KHRH30</t>
  </si>
  <si>
    <t>KHRH35</t>
  </si>
  <si>
    <t>KHRH40</t>
  </si>
  <si>
    <t>KHRH45</t>
  </si>
  <si>
    <t>KHRH50</t>
  </si>
  <si>
    <t>KHRH55</t>
  </si>
  <si>
    <t>KHRH70</t>
  </si>
  <si>
    <t>KHRH80</t>
  </si>
  <si>
    <t>KHRL06</t>
  </si>
  <si>
    <t>Hyd Rod Low Friction Seal Kit</t>
  </si>
  <si>
    <t>KHRL10</t>
  </si>
  <si>
    <t>KHRL100</t>
  </si>
  <si>
    <t>Hyd Rod Low Friction Seal Kit KHRL100</t>
  </si>
  <si>
    <t>KHRL13</t>
  </si>
  <si>
    <t>KHRL17</t>
  </si>
  <si>
    <t>KHRL20</t>
  </si>
  <si>
    <t>KHRL25</t>
  </si>
  <si>
    <t>KHRL30</t>
  </si>
  <si>
    <t>KHRL35</t>
  </si>
  <si>
    <t>KHRL40</t>
  </si>
  <si>
    <t>KHRL45</t>
  </si>
  <si>
    <t>KHRL50</t>
  </si>
  <si>
    <t>KHRL55</t>
  </si>
  <si>
    <t>KHRL70</t>
  </si>
  <si>
    <t>KHRL80</t>
  </si>
  <si>
    <t>KHRV06</t>
  </si>
  <si>
    <t>Hyd Rod Viton Seal Kit</t>
  </si>
  <si>
    <t>KHRV10</t>
  </si>
  <si>
    <t>KHRV100</t>
  </si>
  <si>
    <t>KHRV13</t>
  </si>
  <si>
    <t>KHRV17</t>
  </si>
  <si>
    <t>KHRV20</t>
  </si>
  <si>
    <t>KHRV25</t>
  </si>
  <si>
    <t>KHRV30</t>
  </si>
  <si>
    <t>KHRV35</t>
  </si>
  <si>
    <t>KHRV40</t>
  </si>
  <si>
    <t>KHRV45</t>
  </si>
  <si>
    <t>KHRV50</t>
  </si>
  <si>
    <t>KHRV55</t>
  </si>
  <si>
    <t>KHRV70</t>
  </si>
  <si>
    <t>KHRV80</t>
  </si>
  <si>
    <t>ME044</t>
  </si>
  <si>
    <t>Male Rod Eye 7/16-20</t>
  </si>
  <si>
    <t>ME050</t>
  </si>
  <si>
    <t>Male Rod Eye 1/2-20</t>
  </si>
  <si>
    <t>ME075</t>
  </si>
  <si>
    <t>Male Rod Eye 3/4-16</t>
  </si>
  <si>
    <t>ME087</t>
  </si>
  <si>
    <t>Male Rod Eye 7/8-14</t>
  </si>
  <si>
    <t>ME100</t>
  </si>
  <si>
    <t>Male Rod Eye 1-14</t>
  </si>
  <si>
    <t>ME125</t>
  </si>
  <si>
    <t>Male Rod Eye 1 1/4-12</t>
  </si>
  <si>
    <t>ME150</t>
  </si>
  <si>
    <t>Male Rod Eye 1 1/2-12</t>
  </si>
  <si>
    <t>ME175</t>
  </si>
  <si>
    <t>Male Rod Eye 1 3/4-12</t>
  </si>
  <si>
    <t>ME187</t>
  </si>
  <si>
    <t>Male Rod Eye 1 7/8-12</t>
  </si>
  <si>
    <t>ME225</t>
  </si>
  <si>
    <t>Male Rod Eye 2 1/4-12</t>
  </si>
  <si>
    <t>ME250</t>
  </si>
  <si>
    <t>Male Rod Eye 2 1/2-12</t>
  </si>
  <si>
    <t>PIB062</t>
  </si>
  <si>
    <t>Nitrile Piston ID Oring Seal</t>
  </si>
  <si>
    <t>PIB100</t>
  </si>
  <si>
    <t>PIB138</t>
  </si>
  <si>
    <t>PIB175</t>
  </si>
  <si>
    <t>PIB200</t>
  </si>
  <si>
    <t>PIB250</t>
  </si>
  <si>
    <t>PIB300</t>
  </si>
  <si>
    <t>PIB350</t>
  </si>
  <si>
    <t>PIB400</t>
  </si>
  <si>
    <t>PIB450</t>
  </si>
  <si>
    <t>PIB500</t>
  </si>
  <si>
    <t>PIB550</t>
  </si>
  <si>
    <t>PP050</t>
  </si>
  <si>
    <t>Pivot Pin</t>
  </si>
  <si>
    <t>PP050SA</t>
  </si>
  <si>
    <t>SA - Pivot Pin</t>
  </si>
  <si>
    <t>PP075</t>
  </si>
  <si>
    <t>PP075SA</t>
  </si>
  <si>
    <t>PP100</t>
  </si>
  <si>
    <t>PP100SA</t>
  </si>
  <si>
    <t>PP138</t>
  </si>
  <si>
    <t>PP138SA</t>
  </si>
  <si>
    <t>PP175</t>
  </si>
  <si>
    <t>PP175SA</t>
  </si>
  <si>
    <t>PP200</t>
  </si>
  <si>
    <t>PP200SA</t>
  </si>
  <si>
    <t>PP250</t>
  </si>
  <si>
    <t>PP300</t>
  </si>
  <si>
    <t>PP350</t>
  </si>
  <si>
    <t>PP400</t>
  </si>
  <si>
    <t>PRICE</t>
  </si>
  <si>
    <t>Weld Plate</t>
  </si>
  <si>
    <t>R062</t>
  </si>
  <si>
    <t>Rod</t>
  </si>
  <si>
    <t>R100</t>
  </si>
  <si>
    <t>R138</t>
  </si>
  <si>
    <t>R175</t>
  </si>
  <si>
    <t>R200</t>
  </si>
  <si>
    <t>R250</t>
  </si>
  <si>
    <t>R300</t>
  </si>
  <si>
    <t>R350</t>
  </si>
  <si>
    <t>R400</t>
  </si>
  <si>
    <t>R450</t>
  </si>
  <si>
    <t>R500</t>
  </si>
  <si>
    <t>R550</t>
  </si>
  <si>
    <t>RC044</t>
  </si>
  <si>
    <t>Rod Clevis 7/16-20</t>
  </si>
  <si>
    <t>RC050</t>
  </si>
  <si>
    <t>Rod Clevis 1/2-20</t>
  </si>
  <si>
    <t>RC075</t>
  </si>
  <si>
    <t>Rod Clevis 3/4-16</t>
  </si>
  <si>
    <t>RC087</t>
  </si>
  <si>
    <t>Rod Clevis 7/8-14</t>
  </si>
  <si>
    <t>RC100</t>
  </si>
  <si>
    <t>Rod Clevis 1-14</t>
  </si>
  <si>
    <t>RC125</t>
  </si>
  <si>
    <t>Rod Clevis 1 1/4-12</t>
  </si>
  <si>
    <t>RC150</t>
  </si>
  <si>
    <t>Rod Clevis 1 1/2-12</t>
  </si>
  <si>
    <t>RC175</t>
  </si>
  <si>
    <t>Rod Clevis 1 3/4-12</t>
  </si>
  <si>
    <t>RC187</t>
  </si>
  <si>
    <t>Rod Clevis 1 7/8-12</t>
  </si>
  <si>
    <t>RC225</t>
  </si>
  <si>
    <t>Rod Clevis 2 1/4-12</t>
  </si>
  <si>
    <t>RC250</t>
  </si>
  <si>
    <t>Rod Clevis 2 1/2-12</t>
  </si>
  <si>
    <t>RC275</t>
  </si>
  <si>
    <t>Rod Clevis 2 3/4-12</t>
  </si>
  <si>
    <t>RC325</t>
  </si>
  <si>
    <t>Rod Clevis 3 1/4-12</t>
  </si>
  <si>
    <t>RC350</t>
  </si>
  <si>
    <t>Rod Clevis 3 1/2-12</t>
  </si>
  <si>
    <t>RC400</t>
  </si>
  <si>
    <t>Rod Clevis 4-12</t>
  </si>
  <si>
    <t>ROD BOOT</t>
  </si>
  <si>
    <t>RS044</t>
  </si>
  <si>
    <t>Rod Stud 7/16-20</t>
  </si>
  <si>
    <t>RS050</t>
  </si>
  <si>
    <t>Rod Stud 1/2-20</t>
  </si>
  <si>
    <t>RS075</t>
  </si>
  <si>
    <t>Rod Stud 3/4-16</t>
  </si>
  <si>
    <t>RS087</t>
  </si>
  <si>
    <t>Rod Stud 7/8-14</t>
  </si>
  <si>
    <t>RS100</t>
  </si>
  <si>
    <t>Rod Stud 1-14</t>
  </si>
  <si>
    <t>RS125</t>
  </si>
  <si>
    <t>Rod Stud 1 1/4-12</t>
  </si>
  <si>
    <t>RS150</t>
  </si>
  <si>
    <t>Rod Stud 1 1/2-12</t>
  </si>
  <si>
    <t>RS175</t>
  </si>
  <si>
    <t>Rod Stud 1 3/4-12</t>
  </si>
  <si>
    <t>RS187</t>
  </si>
  <si>
    <t>Rod Stud 1 7/8-12</t>
  </si>
  <si>
    <t>RS250</t>
  </si>
  <si>
    <t>Rod Stud 2 1/2-12</t>
  </si>
  <si>
    <t>RS300</t>
  </si>
  <si>
    <t>Rod Stud 3-12</t>
  </si>
  <si>
    <t>RS325</t>
  </si>
  <si>
    <t>Rod Stud 3 1/4</t>
  </si>
  <si>
    <t>RSS062</t>
  </si>
  <si>
    <t>Stainless Steel Rod</t>
  </si>
  <si>
    <t>RSS100</t>
  </si>
  <si>
    <t>RSS138</t>
  </si>
  <si>
    <t>RSS175</t>
  </si>
  <si>
    <t>RSS200</t>
  </si>
  <si>
    <t>RSS250</t>
  </si>
  <si>
    <t>RSS300</t>
  </si>
  <si>
    <t>RSS350</t>
  </si>
  <si>
    <t>RSS400</t>
  </si>
  <si>
    <t>RSS450</t>
  </si>
  <si>
    <t>RSS500</t>
  </si>
  <si>
    <t>RSS550</t>
  </si>
  <si>
    <t>SAE044</t>
  </si>
  <si>
    <t>SA Male Eye 7/16-20</t>
  </si>
  <si>
    <t>SAE075</t>
  </si>
  <si>
    <t>SA Male Eye 3/4-16</t>
  </si>
  <si>
    <t>SAE100</t>
  </si>
  <si>
    <t>SA Male Eye 1-14</t>
  </si>
  <si>
    <t>SAE125</t>
  </si>
  <si>
    <t>SA Male Eye 1 1/4-12</t>
  </si>
  <si>
    <t>SAE150</t>
  </si>
  <si>
    <t>SA Male Eye 1 1/2-12</t>
  </si>
  <si>
    <t>SAE187</t>
  </si>
  <si>
    <t>SA Male Eye 1 7/8-12</t>
  </si>
  <si>
    <t>SC062</t>
  </si>
  <si>
    <t>SC100</t>
  </si>
  <si>
    <t>SC138</t>
  </si>
  <si>
    <t>SC175</t>
  </si>
  <si>
    <t>SC200</t>
  </si>
  <si>
    <t>SC250</t>
  </si>
  <si>
    <t>SC300</t>
  </si>
  <si>
    <t>SC350</t>
  </si>
  <si>
    <t>SC400</t>
  </si>
  <si>
    <t>SC450</t>
  </si>
  <si>
    <t>SC500</t>
  </si>
  <si>
    <t>SC550</t>
  </si>
  <si>
    <t>SCB044</t>
  </si>
  <si>
    <t>SA - Clevis Bracket 7/16-20</t>
  </si>
  <si>
    <t>SCB050</t>
  </si>
  <si>
    <t>SA Clevis Bracket</t>
  </si>
  <si>
    <t>SCB075</t>
  </si>
  <si>
    <t>SCB100</t>
  </si>
  <si>
    <t>SCB125</t>
  </si>
  <si>
    <t>SA - Clevis Bracket 1 1/4-12</t>
  </si>
  <si>
    <t>SCB138</t>
  </si>
  <si>
    <t>SCB150</t>
  </si>
  <si>
    <t>SA - Clevis Bracket 1 1/2-12</t>
  </si>
  <si>
    <t>SCB175</t>
  </si>
  <si>
    <t>SCB187</t>
  </si>
  <si>
    <t>STOP TUBE</t>
  </si>
  <si>
    <t>Stop Tube</t>
  </si>
  <si>
    <t>TR025</t>
  </si>
  <si>
    <t>Tie Rod</t>
  </si>
  <si>
    <t>TR031</t>
  </si>
  <si>
    <t>TR038</t>
  </si>
  <si>
    <t>TR050</t>
  </si>
  <si>
    <t>TR062</t>
  </si>
  <si>
    <t>TR087</t>
  </si>
  <si>
    <t>TR100</t>
  </si>
  <si>
    <t>TR112</t>
  </si>
  <si>
    <t>TR125</t>
  </si>
  <si>
    <t>TRN025</t>
  </si>
  <si>
    <t>Tie Rod Nuts</t>
  </si>
  <si>
    <t>TRN031</t>
  </si>
  <si>
    <t>TRN038</t>
  </si>
  <si>
    <t>TRN050</t>
  </si>
  <si>
    <t>TRN062</t>
  </si>
  <si>
    <t>TRN087</t>
  </si>
  <si>
    <t>TRN100</t>
  </si>
  <si>
    <t>TRN112</t>
  </si>
  <si>
    <t>TRN125</t>
  </si>
  <si>
    <t>TRNSS025</t>
  </si>
  <si>
    <t>Stainless Steel Nuts</t>
  </si>
  <si>
    <t>TRNSS031</t>
  </si>
  <si>
    <t>TRNSS038</t>
  </si>
  <si>
    <t>TRNSS050</t>
  </si>
  <si>
    <t>TRNSS062</t>
  </si>
  <si>
    <t>TRNSS087</t>
  </si>
  <si>
    <t>TRNSS100</t>
  </si>
  <si>
    <t>TRNSS112</t>
  </si>
  <si>
    <t>TRNSS125</t>
  </si>
  <si>
    <t>TRS</t>
  </si>
  <si>
    <t>Tie Rod Support</t>
  </si>
  <si>
    <t>TRSS025</t>
  </si>
  <si>
    <t>Stainless Steel Tie Rod</t>
  </si>
  <si>
    <t>TRSS031</t>
  </si>
  <si>
    <t>TRSS038</t>
  </si>
  <si>
    <t>TRSS050</t>
  </si>
  <si>
    <t>TRSS062</t>
  </si>
  <si>
    <t>TRSS087</t>
  </si>
  <si>
    <t>TRSS100</t>
  </si>
  <si>
    <t>TRSS112</t>
  </si>
  <si>
    <t>TRSS125</t>
  </si>
  <si>
    <t>WP062</t>
  </si>
  <si>
    <t>WP100</t>
  </si>
  <si>
    <t>WP138</t>
  </si>
  <si>
    <t>WP175</t>
  </si>
  <si>
    <t>WP200</t>
  </si>
  <si>
    <t>WP250</t>
  </si>
  <si>
    <t>WP300</t>
  </si>
  <si>
    <t>WP350</t>
  </si>
  <si>
    <t>WP400</t>
  </si>
  <si>
    <t>WP450</t>
  </si>
  <si>
    <t>WP500</t>
  </si>
  <si>
    <t>WP550</t>
  </si>
  <si>
    <t>H</t>
  </si>
  <si>
    <t>MF2</t>
  </si>
  <si>
    <t>A</t>
  </si>
  <si>
    <t>LH</t>
  </si>
  <si>
    <t>MH</t>
  </si>
  <si>
    <t>C</t>
  </si>
  <si>
    <t>MP1</t>
  </si>
  <si>
    <t>HM</t>
  </si>
  <si>
    <t>L</t>
  </si>
  <si>
    <t>VA</t>
  </si>
  <si>
    <t>K</t>
  </si>
  <si>
    <t>MP3</t>
  </si>
  <si>
    <t>IH</t>
  </si>
  <si>
    <t>IMH</t>
  </si>
  <si>
    <t>MS2</t>
  </si>
  <si>
    <t>IHM</t>
  </si>
  <si>
    <t>W</t>
  </si>
  <si>
    <t>M</t>
  </si>
  <si>
    <t>T</t>
  </si>
  <si>
    <t>MS4</t>
  </si>
  <si>
    <t>WA</t>
  </si>
  <si>
    <t>U</t>
  </si>
  <si>
    <t>MS7</t>
  </si>
  <si>
    <t>R</t>
  </si>
  <si>
    <t>MT1</t>
  </si>
  <si>
    <t>B</t>
  </si>
  <si>
    <t>MT2</t>
  </si>
  <si>
    <t>G</t>
  </si>
  <si>
    <t>Y</t>
  </si>
  <si>
    <t>MX0</t>
  </si>
  <si>
    <t>NC</t>
  </si>
  <si>
    <t>MX1</t>
  </si>
  <si>
    <t>RE</t>
  </si>
  <si>
    <t>MX2</t>
  </si>
  <si>
    <t>CE</t>
  </si>
  <si>
    <t>MX3</t>
  </si>
  <si>
    <t>BE</t>
  </si>
  <si>
    <t>ME3</t>
  </si>
  <si>
    <t>ARE</t>
  </si>
  <si>
    <t>ME4</t>
  </si>
  <si>
    <t>ACE</t>
  </si>
  <si>
    <t>ABE</t>
  </si>
  <si>
    <t>DRE</t>
  </si>
  <si>
    <t>F</t>
  </si>
  <si>
    <t>Part #</t>
  </si>
  <si>
    <t>Description</t>
  </si>
  <si>
    <t>Self-Aligning Male Eye 7/16-20</t>
  </si>
  <si>
    <t>Self-Aligning Male Eye 3/4-16</t>
  </si>
  <si>
    <t>Self-Aligning Male Eye 1-14</t>
  </si>
  <si>
    <t>Self-Aligning Male Eye 1 1/4-12</t>
  </si>
  <si>
    <t>Self-Aligning Male Eye 1 1/2-12</t>
  </si>
  <si>
    <t>Self-Aligning Male Eye 1 7/8-12</t>
  </si>
  <si>
    <t>SA - Clevis Bracket 1/2</t>
  </si>
  <si>
    <t>SA - Clevis Bracket 3/4-16</t>
  </si>
  <si>
    <t>SA - Clevis Bracket 1-14</t>
  </si>
  <si>
    <t>SA - Clevis Bracket 1 7/8-12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</si>
</sst>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indexed="8"/>
      <name val="Arial"/>
      <family val="2"/>
    </font>
    <font>
      <sz val="10"/>
      <name val="Arial Narrow"/>
      <family val="2"/>
    </font>
    <font>
      <sz val="1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3" fillId="2" borderId="0" xfId="1" applyFont="1" applyFill="1" applyAlignment="1" applyProtection="1">
      <alignment horizontal="center" wrapText="1"/>
      <protection locked="0"/>
    </xf>
    <xf numFmtId="0" fontId="3" fillId="2" borderId="0" xfId="2" applyFont="1" applyFill="1" applyAlignment="1" applyProtection="1">
      <alignment horizontal="center"/>
      <protection locked="0"/>
    </xf>
    <xf numFmtId="164" fontId="3" fillId="2" borderId="0" xfId="1" applyNumberFormat="1" applyFont="1" applyFill="1" applyAlignment="1" applyProtection="1">
      <alignment horizontal="center" wrapText="1"/>
      <protection locked="0"/>
    </xf>
    <xf numFmtId="164" fontId="3" fillId="2" borderId="0" xfId="2" applyNumberFormat="1" applyFont="1" applyFill="1" applyAlignment="1" applyProtection="1">
      <alignment horizontal="center"/>
      <protection locked="0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2" fontId="5" fillId="0" borderId="0" xfId="0" applyNumberFormat="1" applyFont="1" applyAlignment="1">
      <alignment horizontal="center"/>
    </xf>
    <xf numFmtId="0" fontId="5" fillId="0" borderId="0" xfId="3" applyFont="1" applyAlignment="1">
      <alignment horizontal="center" wrapText="1"/>
    </xf>
    <xf numFmtId="2" fontId="5" fillId="0" borderId="0" xfId="3" applyNumberFormat="1" applyFont="1" applyAlignment="1">
      <alignment horizontal="center" wrapText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2" fontId="5" fillId="0" borderId="0" xfId="0" applyNumberFormat="1" applyFont="1" applyAlignment="1">
      <alignment horizontal="center"/>
    </xf>
    <xf numFmtId="1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3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0" xfId="1" applyNumberFormat="1" applyFont="1" applyAlignment="1">
      <alignment horizontal="center" wrapText="1"/>
    </xf>
  </cellXfs>
  <cellStyles count="4">
    <cellStyle name="Normal" xfId="0" builtinId="0"/>
    <cellStyle name="Normal 2" xfId="2" xr:uid="{ACF155FC-3BD8-4E3A-989E-FF70195F7D30}"/>
    <cellStyle name="Normal_QUOTE" xfId="1" xr:uid="{8BBCAB6D-FDB7-45EC-8EA1-4E974C139637}"/>
    <cellStyle name="Normal_Sheet1" xfId="3" xr:uid="{9E8D9CA9-558C-4B0C-AAE0-2B9AF1C004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ne\Documents\Projects\Cylinder_Quote_To_HTML\Cylinder_Quote_Web_Milestone_1\2026%20Cylinder%20Quote%20V4.xlsm" TargetMode="External"/><Relationship Id="rId1" Type="http://schemas.openxmlformats.org/officeDocument/2006/relationships/externalLinkPath" Target="2026%20Cylinder%20Quote%20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Quote Form"/>
      <sheetName val="Customer"/>
      <sheetName val="master_contact_list"/>
      <sheetName val="H"/>
      <sheetName val="H2"/>
      <sheetName val="H3"/>
      <sheetName val="H4"/>
      <sheetName val="IMH"/>
      <sheetName val="MH"/>
      <sheetName val="IH"/>
      <sheetName val="IH2"/>
      <sheetName val="IH3"/>
      <sheetName val="IH4"/>
      <sheetName val="Acc"/>
      <sheetName val="A"/>
      <sheetName val="A2"/>
      <sheetName val="A3"/>
      <sheetName val="A4"/>
      <sheetName val="PH"/>
      <sheetName val="VA"/>
      <sheetName val="Inventory"/>
      <sheetName val="ShipVia"/>
      <sheetName val="Seal K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E5">
            <v>60</v>
          </cell>
          <cell r="G5">
            <v>40</v>
          </cell>
          <cell r="I5">
            <v>125</v>
          </cell>
        </row>
        <row r="6">
          <cell r="E6">
            <v>90</v>
          </cell>
          <cell r="G6">
            <v>45</v>
          </cell>
          <cell r="I6">
            <v>175</v>
          </cell>
        </row>
        <row r="7">
          <cell r="E7">
            <v>120</v>
          </cell>
          <cell r="G7">
            <v>50</v>
          </cell>
          <cell r="I7">
            <v>225</v>
          </cell>
        </row>
        <row r="8">
          <cell r="E8">
            <v>170</v>
          </cell>
          <cell r="G8">
            <v>60</v>
          </cell>
          <cell r="I8">
            <v>300</v>
          </cell>
        </row>
        <row r="9">
          <cell r="E9">
            <v>350</v>
          </cell>
          <cell r="G9">
            <v>70</v>
          </cell>
          <cell r="I9">
            <v>500</v>
          </cell>
        </row>
        <row r="10">
          <cell r="E10">
            <v>410</v>
          </cell>
          <cell r="G10">
            <v>110</v>
          </cell>
          <cell r="I10">
            <v>600</v>
          </cell>
        </row>
        <row r="11">
          <cell r="E11">
            <v>570</v>
          </cell>
          <cell r="G11">
            <v>140</v>
          </cell>
          <cell r="I11">
            <v>750</v>
          </cell>
        </row>
        <row r="12">
          <cell r="E12">
            <v>800</v>
          </cell>
          <cell r="G12">
            <v>160</v>
          </cell>
          <cell r="I12">
            <v>1200</v>
          </cell>
        </row>
        <row r="13">
          <cell r="E13">
            <v>1500</v>
          </cell>
          <cell r="G13">
            <v>190</v>
          </cell>
          <cell r="I13">
            <v>2000</v>
          </cell>
        </row>
        <row r="14">
          <cell r="E14">
            <v>1700</v>
          </cell>
          <cell r="G14">
            <v>390</v>
          </cell>
        </row>
        <row r="15">
          <cell r="G15">
            <v>430</v>
          </cell>
        </row>
        <row r="16">
          <cell r="G16">
            <v>550</v>
          </cell>
        </row>
        <row r="17">
          <cell r="G17">
            <v>1100</v>
          </cell>
        </row>
        <row r="18">
          <cell r="G18">
            <v>1300</v>
          </cell>
        </row>
        <row r="19">
          <cell r="G19">
            <v>1450</v>
          </cell>
        </row>
        <row r="22">
          <cell r="I22">
            <v>80</v>
          </cell>
          <cell r="K22">
            <v>305</v>
          </cell>
        </row>
        <row r="23">
          <cell r="I23">
            <v>90</v>
          </cell>
          <cell r="K23">
            <v>318</v>
          </cell>
        </row>
        <row r="24">
          <cell r="I24">
            <v>108</v>
          </cell>
          <cell r="K24">
            <v>324</v>
          </cell>
        </row>
        <row r="25">
          <cell r="I25">
            <v>125</v>
          </cell>
          <cell r="K25">
            <v>329</v>
          </cell>
        </row>
        <row r="26">
          <cell r="I26">
            <v>158</v>
          </cell>
          <cell r="K26">
            <v>335</v>
          </cell>
        </row>
        <row r="27">
          <cell r="I27">
            <v>175</v>
          </cell>
          <cell r="K27">
            <v>380</v>
          </cell>
        </row>
        <row r="28">
          <cell r="I28">
            <v>448</v>
          </cell>
          <cell r="K28">
            <v>386</v>
          </cell>
        </row>
        <row r="29">
          <cell r="I29">
            <v>550</v>
          </cell>
          <cell r="K29">
            <v>431</v>
          </cell>
        </row>
        <row r="30">
          <cell r="I30">
            <v>665</v>
          </cell>
          <cell r="K30">
            <v>445</v>
          </cell>
        </row>
        <row r="31">
          <cell r="I31">
            <v>1466</v>
          </cell>
          <cell r="K31">
            <v>1024</v>
          </cell>
        </row>
        <row r="32">
          <cell r="I32">
            <v>1879</v>
          </cell>
          <cell r="K32">
            <v>1247</v>
          </cell>
        </row>
        <row r="36">
          <cell r="D36" t="str">
            <v>WP062</v>
          </cell>
          <cell r="K36">
            <v>6</v>
          </cell>
        </row>
        <row r="37">
          <cell r="D37" t="str">
            <v>WP100</v>
          </cell>
          <cell r="K37">
            <v>7</v>
          </cell>
        </row>
        <row r="38">
          <cell r="D38" t="str">
            <v>WP138</v>
          </cell>
          <cell r="K38">
            <v>10</v>
          </cell>
        </row>
        <row r="39">
          <cell r="D39" t="str">
            <v>WP175</v>
          </cell>
          <cell r="K39">
            <v>11</v>
          </cell>
        </row>
        <row r="40">
          <cell r="D40" t="str">
            <v>WP200</v>
          </cell>
          <cell r="K40">
            <v>12</v>
          </cell>
        </row>
        <row r="41">
          <cell r="D41" t="str">
            <v>WP250</v>
          </cell>
          <cell r="K41">
            <v>13</v>
          </cell>
        </row>
        <row r="42">
          <cell r="D42" t="str">
            <v>WP300</v>
          </cell>
          <cell r="K42">
            <v>15</v>
          </cell>
        </row>
        <row r="43">
          <cell r="D43" t="str">
            <v>WP350</v>
          </cell>
          <cell r="K43">
            <v>30</v>
          </cell>
        </row>
        <row r="44">
          <cell r="D44" t="str">
            <v>WP400</v>
          </cell>
          <cell r="K44">
            <v>51</v>
          </cell>
        </row>
        <row r="45">
          <cell r="D45" t="str">
            <v>WP450</v>
          </cell>
          <cell r="K45">
            <v>121</v>
          </cell>
        </row>
        <row r="46">
          <cell r="D46" t="str">
            <v>WP500</v>
          </cell>
          <cell r="K46">
            <v>159</v>
          </cell>
        </row>
        <row r="47">
          <cell r="D47" t="str">
            <v>WP550</v>
          </cell>
          <cell r="K47">
            <v>210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2"/>
  <sheetViews>
    <sheetView workbookViewId="0">
      <selection activeCell="D595" sqref="D595"/>
    </sheetView>
  </sheetViews>
  <sheetFormatPr defaultRowHeight="14.5" x14ac:dyDescent="0.35"/>
  <cols>
    <col min="1" max="1" width="22" customWidth="1"/>
    <col min="2" max="2" width="44" customWidth="1"/>
    <col min="3" max="4" width="14" customWidth="1"/>
    <col min="5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11</v>
      </c>
      <c r="B2" s="2" t="s">
        <v>12</v>
      </c>
      <c r="C2" s="4">
        <v>5.7799999999999994</v>
      </c>
    </row>
    <row r="3" spans="1:5" x14ac:dyDescent="0.35">
      <c r="A3" s="2" t="s">
        <v>16</v>
      </c>
      <c r="B3" s="2" t="s">
        <v>12</v>
      </c>
      <c r="C3" s="4">
        <v>6.22</v>
      </c>
    </row>
    <row r="4" spans="1:5" x14ac:dyDescent="0.35">
      <c r="A4" s="2" t="s">
        <v>20</v>
      </c>
      <c r="B4" s="2" t="s">
        <v>12</v>
      </c>
      <c r="C4" s="4">
        <v>11.55</v>
      </c>
    </row>
    <row r="5" spans="1:5" x14ac:dyDescent="0.35">
      <c r="A5" s="2" t="s">
        <v>24</v>
      </c>
      <c r="B5" s="2" t="s">
        <v>12</v>
      </c>
      <c r="C5" s="4">
        <v>17.600000000000001</v>
      </c>
    </row>
    <row r="6" spans="1:5" x14ac:dyDescent="0.35">
      <c r="A6" s="2" t="s">
        <v>28</v>
      </c>
      <c r="B6" s="2" t="s">
        <v>12</v>
      </c>
      <c r="C6" s="4">
        <v>8.8000000000000007</v>
      </c>
    </row>
    <row r="7" spans="1:5" x14ac:dyDescent="0.35">
      <c r="A7" s="2" t="s">
        <v>32</v>
      </c>
      <c r="B7" s="2" t="s">
        <v>12</v>
      </c>
      <c r="C7" s="4">
        <v>9.9</v>
      </c>
    </row>
    <row r="8" spans="1:5" x14ac:dyDescent="0.35">
      <c r="A8" s="2" t="s">
        <v>36</v>
      </c>
      <c r="B8" s="2" t="s">
        <v>12</v>
      </c>
      <c r="C8" s="4">
        <v>13.2</v>
      </c>
    </row>
    <row r="9" spans="1:5" x14ac:dyDescent="0.35">
      <c r="A9" s="2" t="s">
        <v>40</v>
      </c>
      <c r="B9" s="2" t="s">
        <v>12</v>
      </c>
      <c r="C9" s="4">
        <v>16.5</v>
      </c>
    </row>
    <row r="10" spans="1:5" x14ac:dyDescent="0.35">
      <c r="A10" s="2" t="s">
        <v>44</v>
      </c>
      <c r="B10" s="2" t="s">
        <v>12</v>
      </c>
      <c r="C10" s="4">
        <v>18.7</v>
      </c>
    </row>
    <row r="11" spans="1:5" x14ac:dyDescent="0.35">
      <c r="A11" s="2" t="s">
        <v>48</v>
      </c>
      <c r="B11" s="2" t="s">
        <v>12</v>
      </c>
      <c r="C11" s="4">
        <v>19.8</v>
      </c>
    </row>
    <row r="12" spans="1:5" x14ac:dyDescent="0.35">
      <c r="A12" s="2" t="s">
        <v>52</v>
      </c>
      <c r="B12" s="2" t="s">
        <v>12</v>
      </c>
      <c r="C12" s="4">
        <v>19.8</v>
      </c>
    </row>
    <row r="13" spans="1:5" x14ac:dyDescent="0.35">
      <c r="A13" s="2" t="s">
        <v>56</v>
      </c>
      <c r="B13" s="2" t="s">
        <v>12</v>
      </c>
      <c r="C13" s="4">
        <v>20.9</v>
      </c>
    </row>
    <row r="14" spans="1:5" x14ac:dyDescent="0.35">
      <c r="A14" s="2" t="s">
        <v>7</v>
      </c>
      <c r="B14" s="2" t="s">
        <v>8</v>
      </c>
      <c r="C14" s="4">
        <v>11</v>
      </c>
    </row>
    <row r="15" spans="1:5" x14ac:dyDescent="0.35">
      <c r="A15" s="2" t="s">
        <v>14</v>
      </c>
      <c r="B15" s="2" t="s">
        <v>8</v>
      </c>
      <c r="C15" s="4">
        <v>13.2</v>
      </c>
    </row>
    <row r="16" spans="1:5" x14ac:dyDescent="0.35">
      <c r="A16" s="2" t="s">
        <v>18</v>
      </c>
      <c r="B16" s="2" t="s">
        <v>8</v>
      </c>
      <c r="C16" s="4">
        <v>15.4</v>
      </c>
    </row>
    <row r="17" spans="1:3" x14ac:dyDescent="0.35">
      <c r="A17" s="2" t="s">
        <v>22</v>
      </c>
      <c r="B17" s="2" t="s">
        <v>8</v>
      </c>
      <c r="C17" s="4">
        <v>18.7</v>
      </c>
    </row>
    <row r="18" spans="1:3" x14ac:dyDescent="0.35">
      <c r="A18" s="2" t="s">
        <v>26</v>
      </c>
      <c r="B18" s="2" t="s">
        <v>8</v>
      </c>
      <c r="C18" s="4">
        <v>20.9</v>
      </c>
    </row>
    <row r="19" spans="1:3" x14ac:dyDescent="0.35">
      <c r="A19" s="2" t="s">
        <v>30</v>
      </c>
      <c r="B19" s="2" t="s">
        <v>8</v>
      </c>
      <c r="C19" s="4">
        <v>23.1</v>
      </c>
    </row>
    <row r="20" spans="1:3" x14ac:dyDescent="0.35">
      <c r="A20" s="2" t="s">
        <v>34</v>
      </c>
      <c r="B20" s="2" t="s">
        <v>8</v>
      </c>
      <c r="C20" s="4">
        <v>26.4</v>
      </c>
    </row>
    <row r="21" spans="1:3" x14ac:dyDescent="0.35">
      <c r="A21" s="2" t="s">
        <v>38</v>
      </c>
      <c r="B21" s="2" t="s">
        <v>8</v>
      </c>
      <c r="C21" s="4">
        <v>30.8</v>
      </c>
    </row>
    <row r="22" spans="1:3" x14ac:dyDescent="0.35">
      <c r="A22" s="2" t="s">
        <v>42</v>
      </c>
      <c r="B22" s="2" t="s">
        <v>8</v>
      </c>
      <c r="C22" s="4">
        <v>38.5</v>
      </c>
    </row>
    <row r="23" spans="1:3" x14ac:dyDescent="0.35">
      <c r="A23" s="2" t="s">
        <v>46</v>
      </c>
      <c r="B23" s="2" t="s">
        <v>8</v>
      </c>
      <c r="C23" s="4">
        <v>47.3</v>
      </c>
    </row>
    <row r="24" spans="1:3" x14ac:dyDescent="0.35">
      <c r="A24" s="2" t="s">
        <v>50</v>
      </c>
      <c r="B24" s="2" t="s">
        <v>8</v>
      </c>
      <c r="C24" s="4">
        <v>57.2</v>
      </c>
    </row>
    <row r="25" spans="1:3" x14ac:dyDescent="0.35">
      <c r="A25" s="2" t="s">
        <v>54</v>
      </c>
      <c r="B25" s="2" t="s">
        <v>8</v>
      </c>
      <c r="C25" s="4">
        <v>7.7</v>
      </c>
    </row>
    <row r="26" spans="1:3" x14ac:dyDescent="0.35">
      <c r="A26" s="2" t="s">
        <v>487</v>
      </c>
      <c r="B26" s="2" t="s">
        <v>488</v>
      </c>
      <c r="C26" s="4">
        <v>0.88</v>
      </c>
    </row>
    <row r="27" spans="1:3" x14ac:dyDescent="0.35">
      <c r="A27" s="2" t="s">
        <v>489</v>
      </c>
      <c r="B27" s="2" t="s">
        <v>488</v>
      </c>
      <c r="C27" s="4">
        <v>0.99</v>
      </c>
    </row>
    <row r="28" spans="1:3" x14ac:dyDescent="0.35">
      <c r="A28" s="2" t="s">
        <v>490</v>
      </c>
      <c r="B28" s="2" t="s">
        <v>488</v>
      </c>
      <c r="C28" s="4">
        <v>1.1000000000000001</v>
      </c>
    </row>
    <row r="29" spans="1:3" x14ac:dyDescent="0.35">
      <c r="A29" s="2" t="s">
        <v>491</v>
      </c>
      <c r="B29" s="2" t="s">
        <v>488</v>
      </c>
      <c r="C29" s="4">
        <v>1.21</v>
      </c>
    </row>
    <row r="30" spans="1:3" x14ac:dyDescent="0.35">
      <c r="A30" s="2" t="s">
        <v>492</v>
      </c>
      <c r="B30" s="2" t="s">
        <v>488</v>
      </c>
      <c r="C30" s="4">
        <v>1.65</v>
      </c>
    </row>
    <row r="31" spans="1:3" x14ac:dyDescent="0.35">
      <c r="A31" s="2" t="s">
        <v>493</v>
      </c>
      <c r="B31" s="2" t="s">
        <v>488</v>
      </c>
      <c r="C31" s="4">
        <v>2.2000000000000002</v>
      </c>
    </row>
    <row r="32" spans="1:3" x14ac:dyDescent="0.35">
      <c r="A32" s="2" t="s">
        <v>494</v>
      </c>
      <c r="B32" s="2" t="s">
        <v>488</v>
      </c>
      <c r="C32" s="4">
        <v>3.3</v>
      </c>
    </row>
    <row r="33" spans="1:3" x14ac:dyDescent="0.35">
      <c r="A33" s="2" t="s">
        <v>495</v>
      </c>
      <c r="B33" s="2" t="s">
        <v>488</v>
      </c>
      <c r="C33" s="4">
        <v>3.3</v>
      </c>
    </row>
    <row r="34" spans="1:3" x14ac:dyDescent="0.35">
      <c r="A34" s="2" t="s">
        <v>496</v>
      </c>
      <c r="B34" s="2" t="s">
        <v>488</v>
      </c>
      <c r="C34" s="4">
        <v>4.4000000000000004</v>
      </c>
    </row>
    <row r="35" spans="1:3" x14ac:dyDescent="0.35">
      <c r="A35" s="2" t="s">
        <v>497</v>
      </c>
      <c r="B35" s="2" t="s">
        <v>488</v>
      </c>
      <c r="C35" s="4">
        <v>5.5</v>
      </c>
    </row>
    <row r="36" spans="1:3" x14ac:dyDescent="0.35">
      <c r="A36" s="2" t="s">
        <v>498</v>
      </c>
      <c r="B36" s="2" t="s">
        <v>488</v>
      </c>
      <c r="C36" s="4">
        <v>5.5</v>
      </c>
    </row>
    <row r="37" spans="1:3" x14ac:dyDescent="0.35">
      <c r="A37" s="2" t="s">
        <v>499</v>
      </c>
      <c r="B37" s="2" t="s">
        <v>488</v>
      </c>
      <c r="C37" s="4">
        <v>7.7</v>
      </c>
    </row>
    <row r="38" spans="1:3" x14ac:dyDescent="0.35">
      <c r="A38" s="2" t="s">
        <v>1366</v>
      </c>
      <c r="B38" s="2" t="s">
        <v>1367</v>
      </c>
      <c r="C38" s="4">
        <v>92.4</v>
      </c>
    </row>
    <row r="39" spans="1:3" x14ac:dyDescent="0.35">
      <c r="A39" s="2" t="s">
        <v>1346</v>
      </c>
      <c r="B39" s="2" t="s">
        <v>1347</v>
      </c>
      <c r="C39" s="4">
        <v>0.28000000000000003</v>
      </c>
    </row>
    <row r="40" spans="1:3" x14ac:dyDescent="0.35">
      <c r="A40" s="2" t="s">
        <v>1348</v>
      </c>
      <c r="B40" s="2" t="s">
        <v>1347</v>
      </c>
      <c r="C40" s="4">
        <v>0.33</v>
      </c>
    </row>
    <row r="41" spans="1:3" x14ac:dyDescent="0.35">
      <c r="A41" s="2" t="s">
        <v>1349</v>
      </c>
      <c r="B41" s="2" t="s">
        <v>1347</v>
      </c>
      <c r="C41" s="4">
        <v>0.11</v>
      </c>
    </row>
    <row r="42" spans="1:3" x14ac:dyDescent="0.35">
      <c r="A42" s="2" t="s">
        <v>1350</v>
      </c>
      <c r="B42" s="2" t="s">
        <v>1347</v>
      </c>
      <c r="C42" s="4">
        <v>0.24000000000000002</v>
      </c>
    </row>
    <row r="43" spans="1:3" x14ac:dyDescent="0.35">
      <c r="A43" s="2" t="s">
        <v>1351</v>
      </c>
      <c r="B43" s="2" t="s">
        <v>1347</v>
      </c>
      <c r="C43" s="4">
        <v>0.5</v>
      </c>
    </row>
    <row r="44" spans="1:3" x14ac:dyDescent="0.35">
      <c r="A44" s="2" t="s">
        <v>1352</v>
      </c>
      <c r="B44" s="2" t="s">
        <v>1347</v>
      </c>
      <c r="C44" s="4">
        <v>1.43</v>
      </c>
    </row>
    <row r="45" spans="1:3" x14ac:dyDescent="0.35">
      <c r="A45" s="2" t="s">
        <v>1353</v>
      </c>
      <c r="B45" s="2" t="s">
        <v>1347</v>
      </c>
      <c r="C45" s="4">
        <v>1.98</v>
      </c>
    </row>
    <row r="46" spans="1:3" x14ac:dyDescent="0.35">
      <c r="A46" s="2" t="s">
        <v>1354</v>
      </c>
      <c r="B46" s="2" t="s">
        <v>1347</v>
      </c>
      <c r="C46" s="4">
        <v>3.3</v>
      </c>
    </row>
    <row r="47" spans="1:3" x14ac:dyDescent="0.35">
      <c r="A47" s="2" t="s">
        <v>1355</v>
      </c>
      <c r="B47" s="2" t="s">
        <v>1347</v>
      </c>
      <c r="C47" s="4">
        <v>4.13</v>
      </c>
    </row>
    <row r="48" spans="1:3" x14ac:dyDescent="0.35">
      <c r="A48" s="2" t="s">
        <v>1336</v>
      </c>
      <c r="B48" s="2" t="s">
        <v>1337</v>
      </c>
      <c r="C48" s="4">
        <v>0.02</v>
      </c>
    </row>
    <row r="49" spans="1:3" x14ac:dyDescent="0.35">
      <c r="A49" s="2" t="s">
        <v>1338</v>
      </c>
      <c r="B49" s="2" t="s">
        <v>1337</v>
      </c>
      <c r="C49" s="4">
        <v>0.04</v>
      </c>
    </row>
    <row r="50" spans="1:3" x14ac:dyDescent="0.35">
      <c r="A50" s="2" t="s">
        <v>1339</v>
      </c>
      <c r="B50" s="2" t="s">
        <v>1337</v>
      </c>
      <c r="C50" s="4">
        <v>0.05</v>
      </c>
    </row>
    <row r="51" spans="1:3" x14ac:dyDescent="0.35">
      <c r="A51" s="2" t="s">
        <v>1340</v>
      </c>
      <c r="B51" s="2" t="s">
        <v>1337</v>
      </c>
      <c r="C51" s="4">
        <v>0.08</v>
      </c>
    </row>
    <row r="52" spans="1:3" x14ac:dyDescent="0.35">
      <c r="A52" s="2" t="s">
        <v>1341</v>
      </c>
      <c r="B52" s="2" t="s">
        <v>1337</v>
      </c>
      <c r="C52" s="4">
        <v>0.14000000000000001</v>
      </c>
    </row>
    <row r="53" spans="1:3" x14ac:dyDescent="0.35">
      <c r="A53" s="2" t="s">
        <v>1342</v>
      </c>
      <c r="B53" s="2" t="s">
        <v>1337</v>
      </c>
      <c r="C53" s="4">
        <v>0.26</v>
      </c>
    </row>
    <row r="54" spans="1:3" x14ac:dyDescent="0.35">
      <c r="A54" s="2" t="s">
        <v>1343</v>
      </c>
      <c r="B54" s="2" t="s">
        <v>1337</v>
      </c>
      <c r="C54" s="4">
        <v>0.36</v>
      </c>
    </row>
    <row r="55" spans="1:3" x14ac:dyDescent="0.35">
      <c r="A55" s="2" t="s">
        <v>1344</v>
      </c>
      <c r="B55" s="2" t="s">
        <v>1337</v>
      </c>
      <c r="C55" s="4">
        <v>0.44</v>
      </c>
    </row>
    <row r="56" spans="1:3" x14ac:dyDescent="0.35">
      <c r="A56" s="2" t="s">
        <v>1345</v>
      </c>
      <c r="B56" s="2" t="s">
        <v>1337</v>
      </c>
      <c r="C56" s="4">
        <v>0.6</v>
      </c>
    </row>
    <row r="57" spans="1:3" x14ac:dyDescent="0.35">
      <c r="A57" s="2" t="s">
        <v>474</v>
      </c>
      <c r="B57" s="2" t="s">
        <v>475</v>
      </c>
      <c r="C57" s="4">
        <v>2.2000000000000002</v>
      </c>
    </row>
    <row r="58" spans="1:3" x14ac:dyDescent="0.35">
      <c r="A58" s="2" t="s">
        <v>476</v>
      </c>
      <c r="B58" s="2" t="s">
        <v>475</v>
      </c>
      <c r="C58" s="4">
        <v>2.2000000000000002</v>
      </c>
    </row>
    <row r="59" spans="1:3" x14ac:dyDescent="0.35">
      <c r="A59" s="2" t="s">
        <v>477</v>
      </c>
      <c r="B59" s="2" t="s">
        <v>475</v>
      </c>
      <c r="C59" s="4">
        <v>2.2000000000000002</v>
      </c>
    </row>
    <row r="60" spans="1:3" x14ac:dyDescent="0.35">
      <c r="A60" s="2" t="s">
        <v>478</v>
      </c>
      <c r="B60" s="2" t="s">
        <v>475</v>
      </c>
      <c r="C60" s="4">
        <v>3.3</v>
      </c>
    </row>
    <row r="61" spans="1:3" x14ac:dyDescent="0.35">
      <c r="A61" s="2" t="s">
        <v>479</v>
      </c>
      <c r="B61" s="2" t="s">
        <v>475</v>
      </c>
      <c r="C61" s="4">
        <v>3.3</v>
      </c>
    </row>
    <row r="62" spans="1:3" x14ac:dyDescent="0.35">
      <c r="A62" s="2" t="s">
        <v>480</v>
      </c>
      <c r="B62" s="2" t="s">
        <v>475</v>
      </c>
      <c r="C62" s="4">
        <v>3.3</v>
      </c>
    </row>
    <row r="63" spans="1:3" x14ac:dyDescent="0.35">
      <c r="A63" s="2" t="s">
        <v>481</v>
      </c>
      <c r="B63" s="2" t="s">
        <v>475</v>
      </c>
      <c r="C63" s="4">
        <v>4.4000000000000004</v>
      </c>
    </row>
    <row r="64" spans="1:3" x14ac:dyDescent="0.35">
      <c r="A64" s="2" t="s">
        <v>482</v>
      </c>
      <c r="B64" s="2" t="s">
        <v>475</v>
      </c>
      <c r="C64" s="4">
        <v>5.5</v>
      </c>
    </row>
    <row r="65" spans="1:3" x14ac:dyDescent="0.35">
      <c r="A65" s="2" t="s">
        <v>483</v>
      </c>
      <c r="B65" s="2" t="s">
        <v>475</v>
      </c>
      <c r="C65" s="4">
        <v>5.5</v>
      </c>
    </row>
    <row r="66" spans="1:3" x14ac:dyDescent="0.35">
      <c r="A66" s="2" t="s">
        <v>484</v>
      </c>
      <c r="B66" s="2" t="s">
        <v>475</v>
      </c>
      <c r="C66" s="4">
        <v>6.6</v>
      </c>
    </row>
    <row r="67" spans="1:3" x14ac:dyDescent="0.35">
      <c r="A67" s="2" t="s">
        <v>485</v>
      </c>
      <c r="B67" s="2" t="s">
        <v>475</v>
      </c>
      <c r="C67" s="4">
        <v>6.6</v>
      </c>
    </row>
    <row r="68" spans="1:3" x14ac:dyDescent="0.35">
      <c r="A68" s="2" t="s">
        <v>486</v>
      </c>
      <c r="B68" s="2" t="s">
        <v>475</v>
      </c>
      <c r="C68" s="4">
        <v>8.8000000000000007</v>
      </c>
    </row>
    <row r="69" spans="1:3" x14ac:dyDescent="0.35">
      <c r="A69" s="2" t="s">
        <v>1335</v>
      </c>
      <c r="B69" s="2" t="s">
        <v>1335</v>
      </c>
      <c r="C69" s="4">
        <v>88</v>
      </c>
    </row>
    <row r="70" spans="1:3" x14ac:dyDescent="0.35">
      <c r="A70" s="2" t="s">
        <v>1368</v>
      </c>
      <c r="B70" s="2" t="s">
        <v>1369</v>
      </c>
      <c r="C70" s="4">
        <v>0.55000000000000004</v>
      </c>
    </row>
    <row r="71" spans="1:3" x14ac:dyDescent="0.35">
      <c r="A71" s="2" t="s">
        <v>1370</v>
      </c>
      <c r="B71" s="2" t="s">
        <v>1369</v>
      </c>
      <c r="C71" s="4">
        <v>0.55000000000000004</v>
      </c>
    </row>
    <row r="72" spans="1:3" x14ac:dyDescent="0.35">
      <c r="A72" s="2" t="s">
        <v>1371</v>
      </c>
      <c r="B72" s="2" t="s">
        <v>1369</v>
      </c>
      <c r="C72" s="4">
        <v>0.66</v>
      </c>
    </row>
    <row r="73" spans="1:3" x14ac:dyDescent="0.35">
      <c r="A73" s="2" t="s">
        <v>1372</v>
      </c>
      <c r="B73" s="2" t="s">
        <v>1369</v>
      </c>
      <c r="C73" s="4">
        <v>0.77</v>
      </c>
    </row>
    <row r="74" spans="1:3" x14ac:dyDescent="0.35">
      <c r="A74" s="2" t="s">
        <v>1373</v>
      </c>
      <c r="B74" s="2" t="s">
        <v>1369</v>
      </c>
      <c r="C74" s="4">
        <v>0.83</v>
      </c>
    </row>
    <row r="75" spans="1:3" x14ac:dyDescent="0.35">
      <c r="A75" s="2" t="s">
        <v>1374</v>
      </c>
      <c r="B75" s="2" t="s">
        <v>1369</v>
      </c>
      <c r="C75" s="4">
        <v>1.65</v>
      </c>
    </row>
    <row r="76" spans="1:3" x14ac:dyDescent="0.35">
      <c r="A76" s="2" t="s">
        <v>1375</v>
      </c>
      <c r="B76" s="2" t="s">
        <v>1369</v>
      </c>
      <c r="C76" s="4">
        <v>1.71</v>
      </c>
    </row>
    <row r="77" spans="1:3" x14ac:dyDescent="0.35">
      <c r="A77" s="2" t="s">
        <v>1376</v>
      </c>
      <c r="B77" s="2" t="s">
        <v>1369</v>
      </c>
      <c r="C77" s="4">
        <v>2.2000000000000002</v>
      </c>
    </row>
    <row r="78" spans="1:3" x14ac:dyDescent="0.35">
      <c r="A78" s="2" t="s">
        <v>1377</v>
      </c>
      <c r="B78" s="2" t="s">
        <v>1369</v>
      </c>
      <c r="C78" s="4">
        <v>2.86</v>
      </c>
    </row>
    <row r="79" spans="1:3" x14ac:dyDescent="0.35">
      <c r="A79" s="2" t="s">
        <v>1284</v>
      </c>
      <c r="B79" s="2" t="s">
        <v>1285</v>
      </c>
      <c r="C79" s="4">
        <v>0.83</v>
      </c>
    </row>
    <row r="80" spans="1:3" x14ac:dyDescent="0.35">
      <c r="A80" s="2" t="s">
        <v>1286</v>
      </c>
      <c r="B80" s="2" t="s">
        <v>1285</v>
      </c>
      <c r="C80" s="4">
        <v>1.71</v>
      </c>
    </row>
    <row r="81" spans="1:3" x14ac:dyDescent="0.35">
      <c r="A81" s="2" t="s">
        <v>1287</v>
      </c>
      <c r="B81" s="2" t="s">
        <v>1285</v>
      </c>
      <c r="C81" s="4">
        <v>3.07</v>
      </c>
    </row>
    <row r="82" spans="1:3" x14ac:dyDescent="0.35">
      <c r="A82" s="2" t="s">
        <v>1288</v>
      </c>
      <c r="B82" s="2" t="s">
        <v>1285</v>
      </c>
      <c r="C82" s="4">
        <v>4.5199999999999996</v>
      </c>
    </row>
    <row r="83" spans="1:3" x14ac:dyDescent="0.35">
      <c r="A83" s="2" t="s">
        <v>1289</v>
      </c>
      <c r="B83" s="2" t="s">
        <v>1285</v>
      </c>
      <c r="C83" s="4">
        <v>6.26</v>
      </c>
    </row>
    <row r="84" spans="1:3" x14ac:dyDescent="0.35">
      <c r="A84" s="2" t="s">
        <v>1290</v>
      </c>
      <c r="B84" s="2" t="s">
        <v>1285</v>
      </c>
      <c r="C84" s="4">
        <v>9.24</v>
      </c>
    </row>
    <row r="85" spans="1:3" x14ac:dyDescent="0.35">
      <c r="A85" s="2" t="s">
        <v>1291</v>
      </c>
      <c r="B85" s="2" t="s">
        <v>1285</v>
      </c>
      <c r="C85" s="4">
        <v>12.83</v>
      </c>
    </row>
    <row r="86" spans="1:3" x14ac:dyDescent="0.35">
      <c r="A86" s="2" t="s">
        <v>1292</v>
      </c>
      <c r="B86" s="2" t="s">
        <v>1285</v>
      </c>
      <c r="C86" s="4">
        <v>17.46</v>
      </c>
    </row>
    <row r="87" spans="1:3" x14ac:dyDescent="0.35">
      <c r="A87" s="2" t="s">
        <v>1293</v>
      </c>
      <c r="B87" s="2" t="s">
        <v>1285</v>
      </c>
      <c r="C87" s="4">
        <v>28.700000000000003</v>
      </c>
    </row>
    <row r="88" spans="1:3" x14ac:dyDescent="0.35">
      <c r="A88" s="2" t="s">
        <v>1294</v>
      </c>
      <c r="B88" s="2" t="s">
        <v>1285</v>
      </c>
      <c r="C88" s="4">
        <v>44</v>
      </c>
    </row>
    <row r="89" spans="1:3" x14ac:dyDescent="0.35">
      <c r="A89" s="2" t="s">
        <v>1295</v>
      </c>
      <c r="B89" s="2" t="s">
        <v>1285</v>
      </c>
      <c r="C89" s="4">
        <v>88</v>
      </c>
    </row>
    <row r="90" spans="1:3" x14ac:dyDescent="0.35">
      <c r="A90" s="2" t="s">
        <v>1296</v>
      </c>
      <c r="B90" s="2" t="s">
        <v>1285</v>
      </c>
      <c r="C90" s="4">
        <v>110</v>
      </c>
    </row>
    <row r="91" spans="1:3" x14ac:dyDescent="0.35">
      <c r="A91" s="2" t="s">
        <v>1356</v>
      </c>
      <c r="B91" s="2" t="s">
        <v>1357</v>
      </c>
      <c r="C91" s="4">
        <v>2.2000000000000002</v>
      </c>
    </row>
    <row r="92" spans="1:3" x14ac:dyDescent="0.35">
      <c r="A92" s="2" t="s">
        <v>1358</v>
      </c>
      <c r="B92" s="2" t="s">
        <v>1357</v>
      </c>
      <c r="C92" s="4">
        <v>3.3</v>
      </c>
    </row>
    <row r="93" spans="1:3" x14ac:dyDescent="0.35">
      <c r="A93" s="2" t="s">
        <v>1359</v>
      </c>
      <c r="B93" s="2" t="s">
        <v>1357</v>
      </c>
      <c r="C93" s="4">
        <v>3.3</v>
      </c>
    </row>
    <row r="94" spans="1:3" x14ac:dyDescent="0.35">
      <c r="A94" s="2" t="s">
        <v>1360</v>
      </c>
      <c r="B94" s="2" t="s">
        <v>1357</v>
      </c>
      <c r="C94" s="4">
        <v>6.6</v>
      </c>
    </row>
    <row r="95" spans="1:3" x14ac:dyDescent="0.35">
      <c r="A95" s="2" t="s">
        <v>1361</v>
      </c>
      <c r="B95" s="2" t="s">
        <v>1357</v>
      </c>
      <c r="C95" s="4">
        <v>9.9</v>
      </c>
    </row>
    <row r="96" spans="1:3" x14ac:dyDescent="0.35">
      <c r="A96" s="2" t="s">
        <v>1362</v>
      </c>
      <c r="B96" s="2" t="s">
        <v>1357</v>
      </c>
      <c r="C96" s="4">
        <v>14.3</v>
      </c>
    </row>
    <row r="97" spans="1:3" x14ac:dyDescent="0.35">
      <c r="A97" s="2" t="s">
        <v>1363</v>
      </c>
      <c r="B97" s="2" t="s">
        <v>1357</v>
      </c>
      <c r="C97" s="4">
        <v>15.4</v>
      </c>
    </row>
    <row r="98" spans="1:3" x14ac:dyDescent="0.35">
      <c r="A98" s="2" t="s">
        <v>1364</v>
      </c>
      <c r="B98" s="2" t="s">
        <v>1357</v>
      </c>
      <c r="C98" s="4">
        <v>25.3</v>
      </c>
    </row>
    <row r="99" spans="1:3" x14ac:dyDescent="0.35">
      <c r="A99" s="2" t="s">
        <v>1365</v>
      </c>
      <c r="B99" s="2" t="s">
        <v>1357</v>
      </c>
      <c r="C99" s="4">
        <v>37.4</v>
      </c>
    </row>
    <row r="100" spans="1:3" x14ac:dyDescent="0.35">
      <c r="A100" s="3" t="s">
        <v>1309</v>
      </c>
      <c r="B100" s="3" t="s">
        <v>348</v>
      </c>
      <c r="C100" s="5">
        <v>45.1</v>
      </c>
    </row>
    <row r="101" spans="1:3" x14ac:dyDescent="0.35">
      <c r="A101" s="3" t="s">
        <v>1310</v>
      </c>
      <c r="B101" s="3" t="s">
        <v>348</v>
      </c>
      <c r="C101" s="5">
        <v>59.4</v>
      </c>
    </row>
    <row r="102" spans="1:3" x14ac:dyDescent="0.35">
      <c r="A102" s="3" t="s">
        <v>1311</v>
      </c>
      <c r="B102" s="3" t="s">
        <v>348</v>
      </c>
      <c r="C102" s="5">
        <v>70.400000000000006</v>
      </c>
    </row>
    <row r="103" spans="1:3" x14ac:dyDescent="0.35">
      <c r="A103" s="3" t="s">
        <v>1312</v>
      </c>
      <c r="B103" s="3" t="s">
        <v>348</v>
      </c>
      <c r="C103" s="5">
        <v>95.7</v>
      </c>
    </row>
    <row r="104" spans="1:3" x14ac:dyDescent="0.35">
      <c r="A104" s="3" t="s">
        <v>1313</v>
      </c>
      <c r="B104" s="3" t="s">
        <v>348</v>
      </c>
      <c r="C104" s="5">
        <v>132</v>
      </c>
    </row>
    <row r="105" spans="1:3" x14ac:dyDescent="0.35">
      <c r="A105" s="3" t="s">
        <v>1314</v>
      </c>
      <c r="B105" s="3" t="s">
        <v>348</v>
      </c>
      <c r="C105" s="5">
        <v>193.6</v>
      </c>
    </row>
    <row r="106" spans="1:3" x14ac:dyDescent="0.35">
      <c r="A106" s="3" t="s">
        <v>1315</v>
      </c>
      <c r="B106" s="3" t="s">
        <v>348</v>
      </c>
      <c r="C106" s="5">
        <v>256.3</v>
      </c>
    </row>
    <row r="107" spans="1:3" x14ac:dyDescent="0.35">
      <c r="A107" s="3" t="s">
        <v>1316</v>
      </c>
      <c r="B107" s="3" t="s">
        <v>348</v>
      </c>
      <c r="C107" s="5">
        <v>322.3</v>
      </c>
    </row>
    <row r="108" spans="1:3" x14ac:dyDescent="0.35">
      <c r="A108" s="3" t="s">
        <v>1317</v>
      </c>
      <c r="B108" s="3" t="s">
        <v>348</v>
      </c>
      <c r="C108" s="5">
        <v>397.1</v>
      </c>
    </row>
    <row r="109" spans="1:3" x14ac:dyDescent="0.35">
      <c r="A109" s="3" t="s">
        <v>1318</v>
      </c>
      <c r="B109" s="3" t="s">
        <v>348</v>
      </c>
      <c r="C109" s="5">
        <v>434.5</v>
      </c>
    </row>
    <row r="110" spans="1:3" x14ac:dyDescent="0.35">
      <c r="A110" s="3" t="s">
        <v>1297</v>
      </c>
      <c r="B110" s="3" t="s">
        <v>1298</v>
      </c>
      <c r="C110" s="5">
        <v>42.9</v>
      </c>
    </row>
    <row r="111" spans="1:3" x14ac:dyDescent="0.35">
      <c r="A111" s="3" t="s">
        <v>1299</v>
      </c>
      <c r="B111" s="3" t="s">
        <v>1300</v>
      </c>
      <c r="C111" s="5">
        <v>47.3</v>
      </c>
    </row>
    <row r="112" spans="1:3" x14ac:dyDescent="0.35">
      <c r="A112" s="3" t="s">
        <v>1301</v>
      </c>
      <c r="B112" s="3" t="s">
        <v>1302</v>
      </c>
      <c r="C112" s="4">
        <v>57.2</v>
      </c>
    </row>
    <row r="113" spans="1:3" x14ac:dyDescent="0.35">
      <c r="A113" s="3" t="s">
        <v>1307</v>
      </c>
      <c r="B113" s="3" t="s">
        <v>1308</v>
      </c>
      <c r="C113" s="5">
        <v>284.89999999999998</v>
      </c>
    </row>
    <row r="114" spans="1:3" x14ac:dyDescent="0.35">
      <c r="A114" s="3" t="s">
        <v>1303</v>
      </c>
      <c r="B114" s="3" t="s">
        <v>1304</v>
      </c>
      <c r="C114" s="5">
        <v>90.2</v>
      </c>
    </row>
    <row r="115" spans="1:3" x14ac:dyDescent="0.35">
      <c r="A115" s="3" t="s">
        <v>1305</v>
      </c>
      <c r="B115" s="3" t="s">
        <v>1306</v>
      </c>
      <c r="C115" s="5">
        <v>159.5</v>
      </c>
    </row>
    <row r="116" spans="1:3" x14ac:dyDescent="0.35">
      <c r="A116" s="3" t="s">
        <v>1323</v>
      </c>
      <c r="B116" s="3" t="s">
        <v>1324</v>
      </c>
      <c r="C116" s="5">
        <v>57.2</v>
      </c>
    </row>
    <row r="117" spans="1:3" x14ac:dyDescent="0.35">
      <c r="A117" s="3" t="s">
        <v>1325</v>
      </c>
      <c r="B117" s="3" t="s">
        <v>1324</v>
      </c>
      <c r="C117" s="5">
        <v>91.3</v>
      </c>
    </row>
    <row r="118" spans="1:3" x14ac:dyDescent="0.35">
      <c r="A118" s="3" t="s">
        <v>1326</v>
      </c>
      <c r="B118" s="3" t="s">
        <v>1324</v>
      </c>
      <c r="C118" s="5">
        <v>114.4</v>
      </c>
    </row>
    <row r="119" spans="1:3" x14ac:dyDescent="0.35">
      <c r="A119" s="3" t="s">
        <v>1329</v>
      </c>
      <c r="B119" s="3" t="s">
        <v>1324</v>
      </c>
      <c r="C119" s="5">
        <v>171.6</v>
      </c>
    </row>
    <row r="120" spans="1:3" x14ac:dyDescent="0.35">
      <c r="A120" s="3" t="s">
        <v>1332</v>
      </c>
      <c r="B120" s="3" t="s">
        <v>1324</v>
      </c>
      <c r="C120" s="5">
        <v>311.3</v>
      </c>
    </row>
    <row r="121" spans="1:3" x14ac:dyDescent="0.35">
      <c r="A121" s="3" t="s">
        <v>1333</v>
      </c>
      <c r="B121" s="3" t="s">
        <v>1324</v>
      </c>
      <c r="C121" s="5">
        <v>488.4</v>
      </c>
    </row>
    <row r="122" spans="1:3" x14ac:dyDescent="0.35">
      <c r="A122" s="3" t="s">
        <v>1266</v>
      </c>
      <c r="B122" s="3" t="s">
        <v>1267</v>
      </c>
      <c r="C122" s="5">
        <v>18.7</v>
      </c>
    </row>
    <row r="123" spans="1:3" x14ac:dyDescent="0.35">
      <c r="A123" s="3" t="s">
        <v>1260</v>
      </c>
      <c r="B123" s="3" t="s">
        <v>1261</v>
      </c>
      <c r="C123" s="5">
        <v>14.3</v>
      </c>
    </row>
    <row r="124" spans="1:3" x14ac:dyDescent="0.35">
      <c r="A124" s="3" t="s">
        <v>1264</v>
      </c>
      <c r="B124" s="3" t="s">
        <v>1265</v>
      </c>
      <c r="C124" s="5">
        <v>17.600000000000001</v>
      </c>
    </row>
    <row r="125" spans="1:3" x14ac:dyDescent="0.35">
      <c r="A125" s="3" t="s">
        <v>1278</v>
      </c>
      <c r="B125" s="3" t="s">
        <v>1279</v>
      </c>
      <c r="C125" s="5">
        <v>47.3</v>
      </c>
    </row>
    <row r="126" spans="1:3" x14ac:dyDescent="0.35">
      <c r="A126" s="3" t="s">
        <v>1268</v>
      </c>
      <c r="B126" s="3" t="s">
        <v>1269</v>
      </c>
      <c r="C126" s="5">
        <v>20.9</v>
      </c>
    </row>
    <row r="127" spans="1:3" x14ac:dyDescent="0.35">
      <c r="A127" s="3" t="s">
        <v>1262</v>
      </c>
      <c r="B127" s="3" t="s">
        <v>1263</v>
      </c>
      <c r="C127" s="5">
        <v>16.5</v>
      </c>
    </row>
    <row r="128" spans="1:3" x14ac:dyDescent="0.35">
      <c r="A128" s="3" t="s">
        <v>1276</v>
      </c>
      <c r="B128" s="3" t="s">
        <v>1277</v>
      </c>
      <c r="C128" s="5">
        <v>39.6</v>
      </c>
    </row>
    <row r="129" spans="1:3" x14ac:dyDescent="0.35">
      <c r="A129" s="3" t="s">
        <v>1274</v>
      </c>
      <c r="B129" s="3" t="s">
        <v>1275</v>
      </c>
      <c r="C129" s="5">
        <v>31.9</v>
      </c>
    </row>
    <row r="130" spans="1:3" x14ac:dyDescent="0.35">
      <c r="A130" s="3" t="s">
        <v>1270</v>
      </c>
      <c r="B130" s="3" t="s">
        <v>1271</v>
      </c>
      <c r="C130" s="5">
        <v>22</v>
      </c>
    </row>
    <row r="131" spans="1:3" x14ac:dyDescent="0.35">
      <c r="A131" s="3" t="s">
        <v>1272</v>
      </c>
      <c r="B131" s="3" t="s">
        <v>1273</v>
      </c>
      <c r="C131" s="5">
        <v>24.2</v>
      </c>
    </row>
    <row r="132" spans="1:3" x14ac:dyDescent="0.35">
      <c r="A132" s="3" t="s">
        <v>1235</v>
      </c>
      <c r="B132" s="3" t="s">
        <v>1236</v>
      </c>
      <c r="C132" s="5">
        <v>20.9</v>
      </c>
    </row>
    <row r="133" spans="1:3" x14ac:dyDescent="0.35">
      <c r="A133" s="3" t="s">
        <v>1229</v>
      </c>
      <c r="B133" s="3" t="s">
        <v>1230</v>
      </c>
      <c r="C133" s="5">
        <v>8.8000000000000007</v>
      </c>
    </row>
    <row r="134" spans="1:3" x14ac:dyDescent="0.35">
      <c r="A134" s="3" t="s">
        <v>1257</v>
      </c>
      <c r="B134" s="3" t="s">
        <v>1258</v>
      </c>
      <c r="C134" s="5">
        <v>687.5</v>
      </c>
    </row>
    <row r="135" spans="1:3" x14ac:dyDescent="0.35">
      <c r="A135" s="3" t="s">
        <v>1233</v>
      </c>
      <c r="B135" s="3" t="s">
        <v>1234</v>
      </c>
      <c r="C135" s="5">
        <v>18.7</v>
      </c>
    </row>
    <row r="136" spans="1:3" x14ac:dyDescent="0.35">
      <c r="A136" s="3" t="s">
        <v>1253</v>
      </c>
      <c r="B136" s="3" t="s">
        <v>1254</v>
      </c>
      <c r="C136" s="5">
        <v>465.3</v>
      </c>
    </row>
    <row r="137" spans="1:3" x14ac:dyDescent="0.35">
      <c r="A137" s="3" t="s">
        <v>1255</v>
      </c>
      <c r="B137" s="3" t="s">
        <v>1256</v>
      </c>
      <c r="C137" s="5">
        <v>542.29999999999995</v>
      </c>
    </row>
    <row r="138" spans="1:3" x14ac:dyDescent="0.35">
      <c r="A138" s="3" t="s">
        <v>1251</v>
      </c>
      <c r="B138" s="3" t="s">
        <v>1252</v>
      </c>
      <c r="C138" s="5">
        <v>387.2</v>
      </c>
    </row>
    <row r="139" spans="1:3" x14ac:dyDescent="0.35">
      <c r="A139" s="3" t="s">
        <v>1247</v>
      </c>
      <c r="B139" s="3" t="s">
        <v>1248</v>
      </c>
      <c r="C139" s="5">
        <v>170.5</v>
      </c>
    </row>
    <row r="140" spans="1:3" x14ac:dyDescent="0.35">
      <c r="A140" s="3" t="s">
        <v>1249</v>
      </c>
      <c r="B140" s="3" t="s">
        <v>1250</v>
      </c>
      <c r="C140" s="5">
        <v>294.8</v>
      </c>
    </row>
    <row r="141" spans="1:3" x14ac:dyDescent="0.35">
      <c r="A141" s="3" t="s">
        <v>1237</v>
      </c>
      <c r="B141" s="3" t="s">
        <v>1238</v>
      </c>
      <c r="C141" s="5">
        <v>25.3</v>
      </c>
    </row>
    <row r="142" spans="1:3" x14ac:dyDescent="0.35">
      <c r="A142" s="3" t="s">
        <v>1231</v>
      </c>
      <c r="B142" s="3" t="s">
        <v>1232</v>
      </c>
      <c r="C142" s="5">
        <v>18.7</v>
      </c>
    </row>
    <row r="143" spans="1:3" x14ac:dyDescent="0.35">
      <c r="A143" s="3" t="s">
        <v>1245</v>
      </c>
      <c r="B143" s="3" t="s">
        <v>1246</v>
      </c>
      <c r="C143" s="5">
        <v>108.9</v>
      </c>
    </row>
    <row r="144" spans="1:3" x14ac:dyDescent="0.35">
      <c r="A144" s="3" t="s">
        <v>1243</v>
      </c>
      <c r="B144" s="3" t="s">
        <v>1244</v>
      </c>
      <c r="C144" s="5">
        <v>124.3</v>
      </c>
    </row>
    <row r="145" spans="1:3" x14ac:dyDescent="0.35">
      <c r="A145" s="3" t="s">
        <v>1239</v>
      </c>
      <c r="B145" s="3" t="s">
        <v>1240</v>
      </c>
      <c r="C145" s="5">
        <v>70.400000000000006</v>
      </c>
    </row>
    <row r="146" spans="1:3" x14ac:dyDescent="0.35">
      <c r="A146" s="3" t="s">
        <v>1241</v>
      </c>
      <c r="B146" s="3" t="s">
        <v>1242</v>
      </c>
      <c r="C146" s="5">
        <v>63.8</v>
      </c>
    </row>
    <row r="147" spans="1:3" x14ac:dyDescent="0.35">
      <c r="A147" s="2" t="s">
        <v>1216</v>
      </c>
      <c r="B147" s="2" t="s">
        <v>1217</v>
      </c>
      <c r="C147" s="4">
        <v>0.35000000000000003</v>
      </c>
    </row>
    <row r="148" spans="1:3" x14ac:dyDescent="0.35">
      <c r="A148" s="2" t="s">
        <v>1218</v>
      </c>
      <c r="B148" s="2" t="s">
        <v>1217</v>
      </c>
      <c r="C148" s="4">
        <v>0.59</v>
      </c>
    </row>
    <row r="149" spans="1:3" x14ac:dyDescent="0.35">
      <c r="A149" s="2" t="s">
        <v>1219</v>
      </c>
      <c r="B149" s="2" t="s">
        <v>1217</v>
      </c>
      <c r="C149" s="4">
        <v>0.94000000000000006</v>
      </c>
    </row>
    <row r="150" spans="1:3" x14ac:dyDescent="0.35">
      <c r="A150" s="2" t="s">
        <v>1220</v>
      </c>
      <c r="B150" s="2" t="s">
        <v>1217</v>
      </c>
      <c r="C150" s="4">
        <v>1.55</v>
      </c>
    </row>
    <row r="151" spans="1:3" x14ac:dyDescent="0.35">
      <c r="A151" s="2" t="s">
        <v>1221</v>
      </c>
      <c r="B151" s="2" t="s">
        <v>1217</v>
      </c>
      <c r="C151" s="4">
        <v>1.93</v>
      </c>
    </row>
    <row r="152" spans="1:3" x14ac:dyDescent="0.35">
      <c r="A152" s="2" t="s">
        <v>1222</v>
      </c>
      <c r="B152" s="2" t="s">
        <v>1217</v>
      </c>
      <c r="C152" s="4">
        <v>2.9099999999999997</v>
      </c>
    </row>
    <row r="153" spans="1:3" x14ac:dyDescent="0.35">
      <c r="A153" s="2" t="s">
        <v>1223</v>
      </c>
      <c r="B153" s="2" t="s">
        <v>1217</v>
      </c>
      <c r="C153" s="4">
        <v>4.21</v>
      </c>
    </row>
    <row r="154" spans="1:3" x14ac:dyDescent="0.35">
      <c r="A154" s="2" t="s">
        <v>1224</v>
      </c>
      <c r="B154" s="2" t="s">
        <v>1217</v>
      </c>
      <c r="C154" s="4">
        <v>5.85</v>
      </c>
    </row>
    <row r="155" spans="1:3" x14ac:dyDescent="0.35">
      <c r="A155" s="2" t="s">
        <v>1225</v>
      </c>
      <c r="B155" s="2" t="s">
        <v>1217</v>
      </c>
      <c r="C155" s="4">
        <v>7.71</v>
      </c>
    </row>
    <row r="156" spans="1:3" x14ac:dyDescent="0.35">
      <c r="A156" s="2" t="s">
        <v>1226</v>
      </c>
      <c r="B156" s="2" t="s">
        <v>1217</v>
      </c>
      <c r="C156" s="4">
        <v>11.24</v>
      </c>
    </row>
    <row r="157" spans="1:3" x14ac:dyDescent="0.35">
      <c r="A157" s="2" t="s">
        <v>1227</v>
      </c>
      <c r="B157" s="2" t="s">
        <v>1217</v>
      </c>
      <c r="C157" s="4">
        <v>14.02</v>
      </c>
    </row>
    <row r="158" spans="1:3" x14ac:dyDescent="0.35">
      <c r="A158" s="2" t="s">
        <v>1228</v>
      </c>
      <c r="B158" s="2" t="s">
        <v>1217</v>
      </c>
      <c r="C158" s="4">
        <v>17.430000000000003</v>
      </c>
    </row>
    <row r="159" spans="1:3" x14ac:dyDescent="0.35">
      <c r="A159" s="2" t="s">
        <v>9</v>
      </c>
      <c r="B159" s="2" t="s">
        <v>10</v>
      </c>
      <c r="C159" s="4">
        <v>0.77</v>
      </c>
    </row>
    <row r="160" spans="1:3" x14ac:dyDescent="0.35">
      <c r="A160" s="2" t="s">
        <v>15</v>
      </c>
      <c r="B160" s="2" t="s">
        <v>10</v>
      </c>
      <c r="C160" s="4">
        <v>0.99</v>
      </c>
    </row>
    <row r="161" spans="1:3" x14ac:dyDescent="0.35">
      <c r="A161" s="2" t="s">
        <v>19</v>
      </c>
      <c r="B161" s="2" t="s">
        <v>10</v>
      </c>
      <c r="C161" s="4">
        <v>1.1000000000000001</v>
      </c>
    </row>
    <row r="162" spans="1:3" x14ac:dyDescent="0.35">
      <c r="A162" s="2" t="s">
        <v>23</v>
      </c>
      <c r="B162" s="2" t="s">
        <v>10</v>
      </c>
      <c r="C162" s="4">
        <v>1.32</v>
      </c>
    </row>
    <row r="163" spans="1:3" x14ac:dyDescent="0.35">
      <c r="A163" s="2" t="s">
        <v>27</v>
      </c>
      <c r="B163" s="2" t="s">
        <v>10</v>
      </c>
      <c r="C163" s="4">
        <v>1.76</v>
      </c>
    </row>
    <row r="164" spans="1:3" x14ac:dyDescent="0.35">
      <c r="A164" s="2" t="s">
        <v>31</v>
      </c>
      <c r="B164" s="2" t="s">
        <v>10</v>
      </c>
      <c r="C164" s="4">
        <v>2.75</v>
      </c>
    </row>
    <row r="165" spans="1:3" x14ac:dyDescent="0.35">
      <c r="A165" s="2" t="s">
        <v>35</v>
      </c>
      <c r="B165" s="2" t="s">
        <v>10</v>
      </c>
      <c r="C165" s="4">
        <v>3.3</v>
      </c>
    </row>
    <row r="166" spans="1:3" x14ac:dyDescent="0.35">
      <c r="A166" s="2" t="s">
        <v>39</v>
      </c>
      <c r="B166" s="2" t="s">
        <v>10</v>
      </c>
      <c r="C166" s="4">
        <v>3.52</v>
      </c>
    </row>
    <row r="167" spans="1:3" x14ac:dyDescent="0.35">
      <c r="A167" s="2" t="s">
        <v>43</v>
      </c>
      <c r="B167" s="2" t="s">
        <v>10</v>
      </c>
      <c r="C167" s="4">
        <v>5.5</v>
      </c>
    </row>
    <row r="168" spans="1:3" x14ac:dyDescent="0.35">
      <c r="A168" s="2" t="s">
        <v>47</v>
      </c>
      <c r="B168" s="2" t="s">
        <v>10</v>
      </c>
      <c r="C168" s="4">
        <v>6.6</v>
      </c>
    </row>
    <row r="169" spans="1:3" x14ac:dyDescent="0.35">
      <c r="A169" s="2" t="s">
        <v>51</v>
      </c>
      <c r="B169" s="2" t="s">
        <v>10</v>
      </c>
      <c r="C169" s="4">
        <v>7.7</v>
      </c>
    </row>
    <row r="170" spans="1:3" x14ac:dyDescent="0.35">
      <c r="A170" s="2" t="s">
        <v>55</v>
      </c>
      <c r="B170" s="2" t="s">
        <v>10</v>
      </c>
      <c r="C170" s="4">
        <v>9.9</v>
      </c>
    </row>
    <row r="171" spans="1:3" x14ac:dyDescent="0.35">
      <c r="A171" s="2" t="s">
        <v>5</v>
      </c>
      <c r="B171" s="2" t="s">
        <v>6</v>
      </c>
      <c r="C171" s="4">
        <v>2.2000000000000002</v>
      </c>
    </row>
    <row r="172" spans="1:3" x14ac:dyDescent="0.35">
      <c r="A172" s="2" t="s">
        <v>13</v>
      </c>
      <c r="B172" s="2" t="s">
        <v>6</v>
      </c>
      <c r="C172" s="4">
        <v>4.4000000000000004</v>
      </c>
    </row>
    <row r="173" spans="1:3" x14ac:dyDescent="0.35">
      <c r="A173" s="2" t="s">
        <v>17</v>
      </c>
      <c r="B173" s="2" t="s">
        <v>6</v>
      </c>
      <c r="C173" s="4">
        <v>4.4000000000000004</v>
      </c>
    </row>
    <row r="174" spans="1:3" x14ac:dyDescent="0.35">
      <c r="A174" s="2" t="s">
        <v>21</v>
      </c>
      <c r="B174" s="2" t="s">
        <v>6</v>
      </c>
      <c r="C174" s="4">
        <v>3.3</v>
      </c>
    </row>
    <row r="175" spans="1:3" x14ac:dyDescent="0.35">
      <c r="A175" s="2" t="s">
        <v>25</v>
      </c>
      <c r="B175" s="2" t="s">
        <v>6</v>
      </c>
      <c r="C175" s="4">
        <v>5.5</v>
      </c>
    </row>
    <row r="176" spans="1:3" x14ac:dyDescent="0.35">
      <c r="A176" s="2" t="s">
        <v>29</v>
      </c>
      <c r="B176" s="2" t="s">
        <v>6</v>
      </c>
      <c r="C176" s="4">
        <v>5.5</v>
      </c>
    </row>
    <row r="177" spans="1:3" x14ac:dyDescent="0.35">
      <c r="A177" s="2" t="s">
        <v>33</v>
      </c>
      <c r="B177" s="2" t="s">
        <v>6</v>
      </c>
      <c r="C177" s="4">
        <v>6.6</v>
      </c>
    </row>
    <row r="178" spans="1:3" x14ac:dyDescent="0.35">
      <c r="A178" s="2" t="s">
        <v>37</v>
      </c>
      <c r="B178" s="2" t="s">
        <v>6</v>
      </c>
      <c r="C178" s="4">
        <v>7.7</v>
      </c>
    </row>
    <row r="179" spans="1:3" x14ac:dyDescent="0.35">
      <c r="A179" s="2" t="s">
        <v>41</v>
      </c>
      <c r="B179" s="2" t="s">
        <v>6</v>
      </c>
      <c r="C179" s="4">
        <v>9.9</v>
      </c>
    </row>
    <row r="180" spans="1:3" x14ac:dyDescent="0.35">
      <c r="A180" s="2" t="s">
        <v>45</v>
      </c>
      <c r="B180" s="2" t="s">
        <v>6</v>
      </c>
      <c r="C180" s="4">
        <v>9.9</v>
      </c>
    </row>
    <row r="181" spans="1:3" x14ac:dyDescent="0.35">
      <c r="A181" s="2" t="s">
        <v>49</v>
      </c>
      <c r="B181" s="2" t="s">
        <v>6</v>
      </c>
      <c r="C181" s="4">
        <v>11</v>
      </c>
    </row>
    <row r="182" spans="1:3" x14ac:dyDescent="0.35">
      <c r="A182" s="2" t="s">
        <v>53</v>
      </c>
      <c r="B182" s="2" t="s">
        <v>6</v>
      </c>
      <c r="C182" s="4">
        <v>11</v>
      </c>
    </row>
    <row r="183" spans="1:3" x14ac:dyDescent="0.35">
      <c r="A183" s="3" t="s">
        <v>1196</v>
      </c>
      <c r="B183" s="3" t="s">
        <v>1197</v>
      </c>
      <c r="C183" s="4">
        <v>3.3</v>
      </c>
    </row>
    <row r="184" spans="1:3" x14ac:dyDescent="0.35">
      <c r="A184" s="3" t="s">
        <v>1200</v>
      </c>
      <c r="B184" s="3" t="s">
        <v>1197</v>
      </c>
      <c r="C184" s="4">
        <v>5.5</v>
      </c>
    </row>
    <row r="185" spans="1:3" x14ac:dyDescent="0.35">
      <c r="A185" s="3" t="s">
        <v>1202</v>
      </c>
      <c r="B185" s="3" t="s">
        <v>1197</v>
      </c>
      <c r="C185" s="4">
        <v>6.6</v>
      </c>
    </row>
    <row r="186" spans="1:3" x14ac:dyDescent="0.35">
      <c r="A186" s="3" t="s">
        <v>1204</v>
      </c>
      <c r="B186" s="3" t="s">
        <v>1197</v>
      </c>
      <c r="C186" s="5">
        <v>11</v>
      </c>
    </row>
    <row r="187" spans="1:3" x14ac:dyDescent="0.35">
      <c r="A187" s="3" t="s">
        <v>1206</v>
      </c>
      <c r="B187" s="3" t="s">
        <v>1197</v>
      </c>
      <c r="C187" s="5">
        <v>15.4</v>
      </c>
    </row>
    <row r="188" spans="1:3" x14ac:dyDescent="0.35">
      <c r="A188" s="3" t="s">
        <v>1208</v>
      </c>
      <c r="B188" s="3" t="s">
        <v>1197</v>
      </c>
      <c r="C188" s="5">
        <v>19.8</v>
      </c>
    </row>
    <row r="189" spans="1:3" x14ac:dyDescent="0.35">
      <c r="A189" s="3" t="s">
        <v>1210</v>
      </c>
      <c r="B189" s="3" t="s">
        <v>1197</v>
      </c>
      <c r="C189" s="4">
        <v>44</v>
      </c>
    </row>
    <row r="190" spans="1:3" x14ac:dyDescent="0.35">
      <c r="A190" s="3" t="s">
        <v>1211</v>
      </c>
      <c r="B190" s="3" t="s">
        <v>1197</v>
      </c>
      <c r="C190" s="4">
        <v>59.4</v>
      </c>
    </row>
    <row r="191" spans="1:3" x14ac:dyDescent="0.35">
      <c r="A191" s="2" t="s">
        <v>1183</v>
      </c>
      <c r="B191" s="2" t="s">
        <v>1184</v>
      </c>
      <c r="C191" s="4">
        <v>1.1000000000000001</v>
      </c>
    </row>
    <row r="192" spans="1:3" x14ac:dyDescent="0.35">
      <c r="A192" s="2" t="s">
        <v>1185</v>
      </c>
      <c r="B192" s="2" t="s">
        <v>1184</v>
      </c>
      <c r="C192" s="4">
        <v>1.1000000000000001</v>
      </c>
    </row>
    <row r="193" spans="1:3" x14ac:dyDescent="0.35">
      <c r="A193" s="2" t="s">
        <v>1186</v>
      </c>
      <c r="B193" s="2" t="s">
        <v>1184</v>
      </c>
      <c r="C193" s="4">
        <v>1.1000000000000001</v>
      </c>
    </row>
    <row r="194" spans="1:3" x14ac:dyDescent="0.35">
      <c r="A194" s="2" t="s">
        <v>1187</v>
      </c>
      <c r="B194" s="2" t="s">
        <v>1184</v>
      </c>
      <c r="C194" s="4">
        <v>1.1000000000000001</v>
      </c>
    </row>
    <row r="195" spans="1:3" x14ac:dyDescent="0.35">
      <c r="A195" s="2" t="s">
        <v>1188</v>
      </c>
      <c r="B195" s="2" t="s">
        <v>1184</v>
      </c>
      <c r="C195" s="4">
        <v>1.1000000000000001</v>
      </c>
    </row>
    <row r="196" spans="1:3" x14ac:dyDescent="0.35">
      <c r="A196" s="2" t="s">
        <v>1189</v>
      </c>
      <c r="B196" s="2" t="s">
        <v>1184</v>
      </c>
      <c r="C196" s="4">
        <v>1.1000000000000001</v>
      </c>
    </row>
    <row r="197" spans="1:3" x14ac:dyDescent="0.35">
      <c r="A197" s="2" t="s">
        <v>1190</v>
      </c>
      <c r="B197" s="2" t="s">
        <v>1184</v>
      </c>
      <c r="C197" s="4">
        <v>1.1000000000000001</v>
      </c>
    </row>
    <row r="198" spans="1:3" x14ac:dyDescent="0.35">
      <c r="A198" s="2" t="s">
        <v>1191</v>
      </c>
      <c r="B198" s="2" t="s">
        <v>1184</v>
      </c>
      <c r="C198" s="4">
        <v>1.1000000000000001</v>
      </c>
    </row>
    <row r="199" spans="1:3" x14ac:dyDescent="0.35">
      <c r="A199" s="2" t="s">
        <v>1192</v>
      </c>
      <c r="B199" s="2" t="s">
        <v>1184</v>
      </c>
      <c r="C199" s="4">
        <v>1.1000000000000001</v>
      </c>
    </row>
    <row r="200" spans="1:3" x14ac:dyDescent="0.35">
      <c r="A200" s="2" t="s">
        <v>1193</v>
      </c>
      <c r="B200" s="2" t="s">
        <v>1184</v>
      </c>
      <c r="C200" s="4">
        <v>1.1000000000000001</v>
      </c>
    </row>
    <row r="201" spans="1:3" x14ac:dyDescent="0.35">
      <c r="A201" s="2" t="s">
        <v>1194</v>
      </c>
      <c r="B201" s="2" t="s">
        <v>1184</v>
      </c>
      <c r="C201" s="4">
        <v>1.1000000000000001</v>
      </c>
    </row>
    <row r="202" spans="1:3" x14ac:dyDescent="0.35">
      <c r="A202" s="2" t="s">
        <v>1195</v>
      </c>
      <c r="B202" s="2" t="s">
        <v>1184</v>
      </c>
      <c r="C202" s="4">
        <v>1.1000000000000001</v>
      </c>
    </row>
    <row r="203" spans="1:3" x14ac:dyDescent="0.35">
      <c r="A203" s="2" t="s">
        <v>451</v>
      </c>
      <c r="B203" s="2" t="s">
        <v>452</v>
      </c>
      <c r="C203" s="4">
        <v>1.1000000000000001</v>
      </c>
    </row>
    <row r="204" spans="1:3" x14ac:dyDescent="0.35">
      <c r="A204" s="2" t="s">
        <v>453</v>
      </c>
      <c r="B204" s="2" t="s">
        <v>452</v>
      </c>
      <c r="C204" s="4">
        <v>1.1000000000000001</v>
      </c>
    </row>
    <row r="205" spans="1:3" x14ac:dyDescent="0.35">
      <c r="A205" s="2" t="s">
        <v>454</v>
      </c>
      <c r="B205" s="2" t="s">
        <v>452</v>
      </c>
      <c r="C205" s="4">
        <v>1.1000000000000001</v>
      </c>
    </row>
    <row r="206" spans="1:3" x14ac:dyDescent="0.35">
      <c r="A206" s="2" t="s">
        <v>455</v>
      </c>
      <c r="B206" s="2" t="s">
        <v>452</v>
      </c>
      <c r="C206" s="4">
        <v>1.1000000000000001</v>
      </c>
    </row>
    <row r="207" spans="1:3" x14ac:dyDescent="0.35">
      <c r="A207" s="2" t="s">
        <v>456</v>
      </c>
      <c r="B207" s="2" t="s">
        <v>452</v>
      </c>
      <c r="C207" s="4">
        <v>1.1000000000000001</v>
      </c>
    </row>
    <row r="208" spans="1:3" x14ac:dyDescent="0.35">
      <c r="A208" s="2" t="s">
        <v>457</v>
      </c>
      <c r="B208" s="2" t="s">
        <v>452</v>
      </c>
      <c r="C208" s="4">
        <v>1.1000000000000001</v>
      </c>
    </row>
    <row r="209" spans="1:3" x14ac:dyDescent="0.35">
      <c r="A209" s="2" t="s">
        <v>458</v>
      </c>
      <c r="B209" s="2" t="s">
        <v>452</v>
      </c>
      <c r="C209" s="4">
        <v>1.1000000000000001</v>
      </c>
    </row>
    <row r="210" spans="1:3" x14ac:dyDescent="0.35">
      <c r="A210" s="2" t="s">
        <v>459</v>
      </c>
      <c r="B210" s="2" t="s">
        <v>452</v>
      </c>
      <c r="C210" s="4">
        <v>1.1000000000000001</v>
      </c>
    </row>
    <row r="211" spans="1:3" x14ac:dyDescent="0.35">
      <c r="A211" s="2" t="s">
        <v>460</v>
      </c>
      <c r="B211" s="2" t="s">
        <v>452</v>
      </c>
      <c r="C211" s="4">
        <v>1.1000000000000001</v>
      </c>
    </row>
    <row r="212" spans="1:3" x14ac:dyDescent="0.35">
      <c r="A212" s="2" t="s">
        <v>461</v>
      </c>
      <c r="B212" s="2" t="s">
        <v>452</v>
      </c>
      <c r="C212" s="4">
        <v>1.1000000000000001</v>
      </c>
    </row>
    <row r="213" spans="1:3" x14ac:dyDescent="0.35">
      <c r="A213" s="3" t="s">
        <v>462</v>
      </c>
      <c r="B213" s="3" t="s">
        <v>452</v>
      </c>
      <c r="C213" s="4">
        <v>1.1000000000000001</v>
      </c>
    </row>
    <row r="214" spans="1:3" x14ac:dyDescent="0.35">
      <c r="A214" s="3" t="s">
        <v>463</v>
      </c>
      <c r="B214" s="3" t="s">
        <v>452</v>
      </c>
      <c r="C214" s="4">
        <v>1.1000000000000001</v>
      </c>
    </row>
    <row r="215" spans="1:3" x14ac:dyDescent="0.35">
      <c r="A215" s="3" t="s">
        <v>820</v>
      </c>
      <c r="B215" s="3" t="s">
        <v>821</v>
      </c>
      <c r="C215" s="5">
        <v>5.5</v>
      </c>
    </row>
    <row r="216" spans="1:3" x14ac:dyDescent="0.35">
      <c r="A216" s="3" t="s">
        <v>814</v>
      </c>
      <c r="B216" s="3" t="s">
        <v>815</v>
      </c>
      <c r="C216" s="5">
        <v>3.3</v>
      </c>
    </row>
    <row r="217" spans="1:3" x14ac:dyDescent="0.35">
      <c r="A217" s="3" t="s">
        <v>818</v>
      </c>
      <c r="B217" s="3" t="s">
        <v>819</v>
      </c>
      <c r="C217" s="5">
        <v>3.3</v>
      </c>
    </row>
    <row r="218" spans="1:3" x14ac:dyDescent="0.35">
      <c r="A218" s="3" t="s">
        <v>822</v>
      </c>
      <c r="B218" s="3" t="s">
        <v>823</v>
      </c>
      <c r="C218" s="5">
        <v>5.5</v>
      </c>
    </row>
    <row r="219" spans="1:3" x14ac:dyDescent="0.35">
      <c r="A219" s="3" t="s">
        <v>816</v>
      </c>
      <c r="B219" s="3" t="s">
        <v>817</v>
      </c>
      <c r="C219" s="5">
        <v>3.3</v>
      </c>
    </row>
    <row r="220" spans="1:3" x14ac:dyDescent="0.35">
      <c r="A220" s="3" t="s">
        <v>824</v>
      </c>
      <c r="B220" s="3" t="s">
        <v>825</v>
      </c>
      <c r="C220" s="5">
        <v>6.6</v>
      </c>
    </row>
    <row r="221" spans="1:3" x14ac:dyDescent="0.35">
      <c r="A221" s="3" t="s">
        <v>826</v>
      </c>
      <c r="B221" s="3" t="s">
        <v>827</v>
      </c>
      <c r="C221" s="5">
        <v>6.6</v>
      </c>
    </row>
    <row r="222" spans="1:3" x14ac:dyDescent="0.35">
      <c r="A222" s="2" t="s">
        <v>464</v>
      </c>
      <c r="B222" s="2" t="s">
        <v>465</v>
      </c>
      <c r="C222" s="4">
        <v>5.5</v>
      </c>
    </row>
    <row r="223" spans="1:3" x14ac:dyDescent="0.35">
      <c r="A223" s="2" t="s">
        <v>466</v>
      </c>
      <c r="B223" s="2" t="s">
        <v>465</v>
      </c>
      <c r="C223" s="4">
        <v>6.6</v>
      </c>
    </row>
    <row r="224" spans="1:3" x14ac:dyDescent="0.35">
      <c r="A224" s="2" t="s">
        <v>467</v>
      </c>
      <c r="B224" s="2" t="s">
        <v>465</v>
      </c>
      <c r="C224" s="4">
        <v>8.8000000000000007</v>
      </c>
    </row>
    <row r="225" spans="1:3" x14ac:dyDescent="0.35">
      <c r="A225" s="2" t="s">
        <v>468</v>
      </c>
      <c r="B225" s="2" t="s">
        <v>465</v>
      </c>
      <c r="C225" s="4">
        <v>11</v>
      </c>
    </row>
    <row r="226" spans="1:3" x14ac:dyDescent="0.35">
      <c r="A226" s="2" t="s">
        <v>469</v>
      </c>
      <c r="B226" s="2" t="s">
        <v>465</v>
      </c>
      <c r="C226" s="4">
        <v>62.7</v>
      </c>
    </row>
    <row r="227" spans="1:3" x14ac:dyDescent="0.35">
      <c r="A227" s="2" t="s">
        <v>470</v>
      </c>
      <c r="B227" s="2" t="s">
        <v>465</v>
      </c>
      <c r="C227" s="4">
        <v>78.099999999999994</v>
      </c>
    </row>
    <row r="228" spans="1:3" x14ac:dyDescent="0.35">
      <c r="A228" s="2" t="s">
        <v>471</v>
      </c>
      <c r="B228" s="2" t="s">
        <v>465</v>
      </c>
      <c r="C228" s="4">
        <v>47.3</v>
      </c>
    </row>
    <row r="229" spans="1:3" x14ac:dyDescent="0.35">
      <c r="A229" s="2" t="s">
        <v>472</v>
      </c>
      <c r="B229" s="2" t="s">
        <v>465</v>
      </c>
      <c r="C229" s="4">
        <v>116.6</v>
      </c>
    </row>
    <row r="230" spans="1:3" x14ac:dyDescent="0.35">
      <c r="A230" s="2" t="s">
        <v>473</v>
      </c>
      <c r="B230" s="2" t="s">
        <v>465</v>
      </c>
      <c r="C230" s="4">
        <v>155.1</v>
      </c>
    </row>
    <row r="231" spans="1:3" x14ac:dyDescent="0.35">
      <c r="A231" s="2" t="s">
        <v>802</v>
      </c>
      <c r="B231" s="2" t="s">
        <v>803</v>
      </c>
      <c r="C231" s="4">
        <v>16.5</v>
      </c>
    </row>
    <row r="232" spans="1:3" x14ac:dyDescent="0.35">
      <c r="A232" s="2" t="s">
        <v>804</v>
      </c>
      <c r="B232" s="2" t="s">
        <v>803</v>
      </c>
      <c r="C232" s="4">
        <v>16.5</v>
      </c>
    </row>
    <row r="233" spans="1:3" x14ac:dyDescent="0.35">
      <c r="A233" s="2" t="s">
        <v>805</v>
      </c>
      <c r="B233" s="2" t="s">
        <v>803</v>
      </c>
      <c r="C233" s="4">
        <v>16.5</v>
      </c>
    </row>
    <row r="234" spans="1:3" x14ac:dyDescent="0.35">
      <c r="A234" s="2" t="s">
        <v>806</v>
      </c>
      <c r="B234" s="2" t="s">
        <v>803</v>
      </c>
      <c r="C234" s="4">
        <v>16.5</v>
      </c>
    </row>
    <row r="235" spans="1:3" x14ac:dyDescent="0.35">
      <c r="A235" s="2" t="s">
        <v>807</v>
      </c>
      <c r="B235" s="2" t="s">
        <v>803</v>
      </c>
      <c r="C235" s="4">
        <v>16.5</v>
      </c>
    </row>
    <row r="236" spans="1:3" x14ac:dyDescent="0.35">
      <c r="A236" s="2" t="s">
        <v>808</v>
      </c>
      <c r="B236" s="2" t="s">
        <v>803</v>
      </c>
      <c r="C236" s="4">
        <v>24.2</v>
      </c>
    </row>
    <row r="237" spans="1:3" x14ac:dyDescent="0.35">
      <c r="A237" s="2" t="s">
        <v>809</v>
      </c>
      <c r="B237" s="2" t="s">
        <v>803</v>
      </c>
      <c r="C237" s="4">
        <v>24.2</v>
      </c>
    </row>
    <row r="238" spans="1:3" x14ac:dyDescent="0.35">
      <c r="A238" s="2" t="s">
        <v>810</v>
      </c>
      <c r="B238" s="2" t="s">
        <v>803</v>
      </c>
      <c r="C238" s="4">
        <v>24.2</v>
      </c>
    </row>
    <row r="239" spans="1:3" x14ac:dyDescent="0.35">
      <c r="A239" s="2" t="s">
        <v>811</v>
      </c>
      <c r="B239" s="2" t="s">
        <v>803</v>
      </c>
      <c r="C239" s="4">
        <v>39.6</v>
      </c>
    </row>
    <row r="240" spans="1:3" x14ac:dyDescent="0.35">
      <c r="A240" s="2" t="s">
        <v>812</v>
      </c>
      <c r="B240" s="2" t="s">
        <v>803</v>
      </c>
      <c r="C240" s="4">
        <v>78.099999999999994</v>
      </c>
    </row>
    <row r="241" spans="1:3" x14ac:dyDescent="0.35">
      <c r="A241" s="2" t="s">
        <v>813</v>
      </c>
      <c r="B241" s="2" t="s">
        <v>803</v>
      </c>
      <c r="C241" s="4">
        <v>78.099999999999994</v>
      </c>
    </row>
    <row r="242" spans="1:3" x14ac:dyDescent="0.35">
      <c r="A242" s="2" t="s">
        <v>508</v>
      </c>
      <c r="B242" s="2" t="s">
        <v>509</v>
      </c>
      <c r="C242" s="4">
        <v>47.3</v>
      </c>
    </row>
    <row r="243" spans="1:3" x14ac:dyDescent="0.35">
      <c r="A243" s="2" t="s">
        <v>524</v>
      </c>
      <c r="B243" s="2" t="s">
        <v>509</v>
      </c>
      <c r="C243" s="4">
        <v>47.3</v>
      </c>
    </row>
    <row r="244" spans="1:3" x14ac:dyDescent="0.35">
      <c r="A244" s="2" t="s">
        <v>525</v>
      </c>
      <c r="B244" s="2" t="s">
        <v>509</v>
      </c>
      <c r="C244" s="4">
        <v>105.6</v>
      </c>
    </row>
    <row r="245" spans="1:3" x14ac:dyDescent="0.35">
      <c r="A245" s="2" t="s">
        <v>542</v>
      </c>
      <c r="B245" s="2" t="s">
        <v>509</v>
      </c>
      <c r="C245" s="4">
        <v>31.9</v>
      </c>
    </row>
    <row r="246" spans="1:3" x14ac:dyDescent="0.35">
      <c r="A246" s="2" t="s">
        <v>543</v>
      </c>
      <c r="B246" s="2" t="s">
        <v>509</v>
      </c>
      <c r="C246" s="4">
        <v>31.9</v>
      </c>
    </row>
    <row r="247" spans="1:3" x14ac:dyDescent="0.35">
      <c r="A247" s="2" t="s">
        <v>549</v>
      </c>
      <c r="B247" s="2" t="s">
        <v>509</v>
      </c>
      <c r="C247" s="4">
        <v>85.8</v>
      </c>
    </row>
    <row r="248" spans="1:3" x14ac:dyDescent="0.35">
      <c r="A248" s="2" t="s">
        <v>560</v>
      </c>
      <c r="B248" s="2" t="s">
        <v>509</v>
      </c>
      <c r="C248" s="4">
        <v>66</v>
      </c>
    </row>
    <row r="249" spans="1:3" x14ac:dyDescent="0.35">
      <c r="A249" s="2" t="s">
        <v>561</v>
      </c>
      <c r="B249" s="2" t="s">
        <v>509</v>
      </c>
      <c r="C249" s="4">
        <v>119.9</v>
      </c>
    </row>
    <row r="250" spans="1:3" x14ac:dyDescent="0.35">
      <c r="A250" s="2" t="s">
        <v>571</v>
      </c>
      <c r="B250" s="2" t="s">
        <v>509</v>
      </c>
      <c r="C250" s="4">
        <v>49.5</v>
      </c>
    </row>
    <row r="251" spans="1:3" x14ac:dyDescent="0.35">
      <c r="A251" s="2" t="s">
        <v>572</v>
      </c>
      <c r="B251" s="2" t="s">
        <v>509</v>
      </c>
      <c r="C251" s="4">
        <v>49.5</v>
      </c>
    </row>
    <row r="252" spans="1:3" x14ac:dyDescent="0.35">
      <c r="A252" s="2" t="s">
        <v>578</v>
      </c>
      <c r="B252" s="2" t="s">
        <v>509</v>
      </c>
      <c r="C252" s="4">
        <v>89.1</v>
      </c>
    </row>
    <row r="253" spans="1:3" x14ac:dyDescent="0.35">
      <c r="A253" s="2" t="s">
        <v>589</v>
      </c>
      <c r="B253" s="2" t="s">
        <v>509</v>
      </c>
      <c r="C253" s="4">
        <v>66</v>
      </c>
    </row>
    <row r="254" spans="1:3" x14ac:dyDescent="0.35">
      <c r="A254" s="2" t="s">
        <v>590</v>
      </c>
      <c r="B254" s="2" t="s">
        <v>509</v>
      </c>
      <c r="C254" s="4">
        <v>132</v>
      </c>
    </row>
    <row r="255" spans="1:3" x14ac:dyDescent="0.35">
      <c r="A255" s="2" t="s">
        <v>601</v>
      </c>
      <c r="B255" s="2" t="s">
        <v>509</v>
      </c>
      <c r="C255" s="4">
        <v>83.6</v>
      </c>
    </row>
    <row r="256" spans="1:3" x14ac:dyDescent="0.35">
      <c r="A256" s="2" t="s">
        <v>602</v>
      </c>
      <c r="B256" s="2" t="s">
        <v>509</v>
      </c>
      <c r="C256" s="4">
        <v>83.6</v>
      </c>
    </row>
    <row r="257" spans="1:3" x14ac:dyDescent="0.35">
      <c r="A257" s="2" t="s">
        <v>603</v>
      </c>
      <c r="B257" s="2" t="s">
        <v>509</v>
      </c>
      <c r="C257" s="4">
        <v>83.6</v>
      </c>
    </row>
    <row r="258" spans="1:3" x14ac:dyDescent="0.35">
      <c r="A258" s="2" t="s">
        <v>609</v>
      </c>
      <c r="B258" s="2" t="s">
        <v>509</v>
      </c>
      <c r="C258" s="4">
        <v>101.2</v>
      </c>
    </row>
    <row r="259" spans="1:3" x14ac:dyDescent="0.35">
      <c r="A259" s="2" t="s">
        <v>620</v>
      </c>
      <c r="B259" s="2" t="s">
        <v>509</v>
      </c>
      <c r="C259" s="4">
        <v>124.3</v>
      </c>
    </row>
    <row r="260" spans="1:3" x14ac:dyDescent="0.35">
      <c r="A260" s="2" t="s">
        <v>621</v>
      </c>
      <c r="B260" s="2" t="s">
        <v>509</v>
      </c>
      <c r="C260" s="4">
        <v>162.80000000000001</v>
      </c>
    </row>
    <row r="261" spans="1:3" x14ac:dyDescent="0.35">
      <c r="A261" s="2" t="s">
        <v>632</v>
      </c>
      <c r="B261" s="2" t="s">
        <v>509</v>
      </c>
      <c r="C261" s="4">
        <v>70.400000000000006</v>
      </c>
    </row>
    <row r="262" spans="1:3" x14ac:dyDescent="0.35">
      <c r="A262" s="2" t="s">
        <v>633</v>
      </c>
      <c r="B262" s="2" t="s">
        <v>509</v>
      </c>
      <c r="C262" s="4">
        <v>71.5</v>
      </c>
    </row>
    <row r="263" spans="1:3" x14ac:dyDescent="0.35">
      <c r="A263" s="2" t="s">
        <v>634</v>
      </c>
      <c r="B263" s="2" t="s">
        <v>509</v>
      </c>
      <c r="C263" s="4">
        <v>71.5</v>
      </c>
    </row>
    <row r="264" spans="1:3" x14ac:dyDescent="0.35">
      <c r="A264" s="2" t="s">
        <v>640</v>
      </c>
      <c r="B264" s="2" t="s">
        <v>509</v>
      </c>
      <c r="C264" s="4">
        <v>196.9</v>
      </c>
    </row>
    <row r="265" spans="1:3" x14ac:dyDescent="0.35">
      <c r="A265" s="2" t="s">
        <v>651</v>
      </c>
      <c r="B265" s="2" t="s">
        <v>509</v>
      </c>
      <c r="C265" s="4">
        <v>132</v>
      </c>
    </row>
    <row r="266" spans="1:3" x14ac:dyDescent="0.35">
      <c r="A266" s="2" t="s">
        <v>652</v>
      </c>
      <c r="B266" s="2" t="s">
        <v>509</v>
      </c>
      <c r="C266" s="4">
        <v>170.5</v>
      </c>
    </row>
    <row r="267" spans="1:3" x14ac:dyDescent="0.35">
      <c r="A267" s="2" t="s">
        <v>663</v>
      </c>
      <c r="B267" s="2" t="s">
        <v>509</v>
      </c>
      <c r="C267" s="4">
        <v>67.099999999999994</v>
      </c>
    </row>
    <row r="268" spans="1:3" x14ac:dyDescent="0.35">
      <c r="A268" s="2" t="s">
        <v>664</v>
      </c>
      <c r="B268" s="2" t="s">
        <v>509</v>
      </c>
      <c r="C268" s="4">
        <v>67.099999999999994</v>
      </c>
    </row>
    <row r="269" spans="1:3" x14ac:dyDescent="0.35">
      <c r="A269" s="2" t="s">
        <v>665</v>
      </c>
      <c r="B269" s="2" t="s">
        <v>509</v>
      </c>
      <c r="C269" s="4">
        <v>67.099999999999994</v>
      </c>
    </row>
    <row r="270" spans="1:3" x14ac:dyDescent="0.35">
      <c r="A270" s="2" t="s">
        <v>671</v>
      </c>
      <c r="B270" s="2" t="s">
        <v>509</v>
      </c>
      <c r="C270" s="4">
        <v>210.1</v>
      </c>
    </row>
    <row r="271" spans="1:3" x14ac:dyDescent="0.35">
      <c r="A271" s="2" t="s">
        <v>681</v>
      </c>
      <c r="B271" s="2" t="s">
        <v>509</v>
      </c>
      <c r="C271" s="4">
        <v>139.69999999999999</v>
      </c>
    </row>
    <row r="272" spans="1:3" x14ac:dyDescent="0.35">
      <c r="A272" s="2" t="s">
        <v>682</v>
      </c>
      <c r="B272" s="2" t="s">
        <v>509</v>
      </c>
      <c r="C272" s="4">
        <v>185.9</v>
      </c>
    </row>
    <row r="273" spans="1:3" x14ac:dyDescent="0.35">
      <c r="A273" s="2" t="s">
        <v>694</v>
      </c>
      <c r="B273" s="2" t="s">
        <v>509</v>
      </c>
      <c r="C273" s="4">
        <v>139.69999999999999</v>
      </c>
    </row>
    <row r="274" spans="1:3" x14ac:dyDescent="0.35">
      <c r="A274" s="2" t="s">
        <v>695</v>
      </c>
      <c r="B274" s="2" t="s">
        <v>509</v>
      </c>
      <c r="C274" s="4">
        <v>147.4</v>
      </c>
    </row>
    <row r="275" spans="1:3" x14ac:dyDescent="0.35">
      <c r="A275" s="2" t="s">
        <v>696</v>
      </c>
      <c r="B275" s="2" t="s">
        <v>509</v>
      </c>
      <c r="C275" s="4">
        <v>149.6</v>
      </c>
    </row>
    <row r="276" spans="1:3" x14ac:dyDescent="0.35">
      <c r="A276" s="2" t="s">
        <v>697</v>
      </c>
      <c r="B276" s="2" t="s">
        <v>509</v>
      </c>
      <c r="C276" s="4">
        <v>155.1</v>
      </c>
    </row>
    <row r="277" spans="1:3" x14ac:dyDescent="0.35">
      <c r="A277" s="2" t="s">
        <v>703</v>
      </c>
      <c r="B277" s="2" t="s">
        <v>509</v>
      </c>
      <c r="C277" s="4">
        <v>233.2</v>
      </c>
    </row>
    <row r="278" spans="1:3" x14ac:dyDescent="0.35">
      <c r="A278" s="2" t="s">
        <v>713</v>
      </c>
      <c r="B278" s="2" t="s">
        <v>509</v>
      </c>
      <c r="C278" s="4">
        <v>156.19999999999999</v>
      </c>
    </row>
    <row r="279" spans="1:3" x14ac:dyDescent="0.35">
      <c r="A279" s="2" t="s">
        <v>714</v>
      </c>
      <c r="B279" s="2" t="s">
        <v>509</v>
      </c>
      <c r="C279" s="4">
        <v>233.2</v>
      </c>
    </row>
    <row r="280" spans="1:3" x14ac:dyDescent="0.35">
      <c r="A280" s="2" t="s">
        <v>726</v>
      </c>
      <c r="B280" s="2" t="s">
        <v>509</v>
      </c>
      <c r="C280" s="4">
        <v>264</v>
      </c>
    </row>
    <row r="281" spans="1:3" x14ac:dyDescent="0.35">
      <c r="A281" s="2" t="s">
        <v>727</v>
      </c>
      <c r="B281" s="2" t="s">
        <v>509</v>
      </c>
      <c r="C281" s="4">
        <v>264</v>
      </c>
    </row>
    <row r="282" spans="1:3" x14ac:dyDescent="0.35">
      <c r="A282" s="2" t="s">
        <v>728</v>
      </c>
      <c r="B282" s="2" t="s">
        <v>509</v>
      </c>
      <c r="C282" s="4">
        <v>264</v>
      </c>
    </row>
    <row r="283" spans="1:3" x14ac:dyDescent="0.35">
      <c r="A283" s="2" t="s">
        <v>729</v>
      </c>
      <c r="B283" s="2" t="s">
        <v>509</v>
      </c>
      <c r="C283" s="4">
        <v>264</v>
      </c>
    </row>
    <row r="284" spans="1:3" x14ac:dyDescent="0.35">
      <c r="A284" s="2" t="s">
        <v>735</v>
      </c>
      <c r="B284" s="2" t="s">
        <v>509</v>
      </c>
      <c r="C284" s="4">
        <v>310.2</v>
      </c>
    </row>
    <row r="285" spans="1:3" x14ac:dyDescent="0.35">
      <c r="A285" s="2" t="s">
        <v>737</v>
      </c>
      <c r="B285" s="2" t="s">
        <v>509</v>
      </c>
      <c r="C285" s="4">
        <v>348.7</v>
      </c>
    </row>
    <row r="286" spans="1:3" x14ac:dyDescent="0.35">
      <c r="A286" s="2" t="s">
        <v>747</v>
      </c>
      <c r="B286" s="2" t="s">
        <v>509</v>
      </c>
      <c r="C286" s="4">
        <v>364.1</v>
      </c>
    </row>
    <row r="287" spans="1:3" x14ac:dyDescent="0.35">
      <c r="A287" s="2" t="s">
        <v>748</v>
      </c>
      <c r="B287" s="2" t="s">
        <v>509</v>
      </c>
      <c r="C287" s="4">
        <v>465.3</v>
      </c>
    </row>
    <row r="288" spans="1:3" x14ac:dyDescent="0.35">
      <c r="A288" s="2" t="s">
        <v>761</v>
      </c>
      <c r="B288" s="2" t="s">
        <v>509</v>
      </c>
      <c r="C288" s="4">
        <v>310.2</v>
      </c>
    </row>
    <row r="289" spans="1:4" x14ac:dyDescent="0.35">
      <c r="A289" s="2" t="s">
        <v>762</v>
      </c>
      <c r="B289" s="2" t="s">
        <v>509</v>
      </c>
      <c r="C289" s="4">
        <v>310.2</v>
      </c>
    </row>
    <row r="290" spans="1:4" x14ac:dyDescent="0.35">
      <c r="A290" s="2" t="s">
        <v>763</v>
      </c>
      <c r="B290" s="2" t="s">
        <v>509</v>
      </c>
      <c r="C290" s="4">
        <v>310.2</v>
      </c>
    </row>
    <row r="291" spans="1:4" x14ac:dyDescent="0.35">
      <c r="A291" s="2" t="s">
        <v>764</v>
      </c>
      <c r="B291" s="2" t="s">
        <v>509</v>
      </c>
      <c r="C291" s="4">
        <v>310.2</v>
      </c>
    </row>
    <row r="292" spans="1:4" x14ac:dyDescent="0.35">
      <c r="A292" s="2" t="s">
        <v>765</v>
      </c>
      <c r="B292" s="2" t="s">
        <v>509</v>
      </c>
      <c r="C292" s="4">
        <v>310.2</v>
      </c>
    </row>
    <row r="293" spans="1:4" x14ac:dyDescent="0.35">
      <c r="A293" s="2" t="s">
        <v>771</v>
      </c>
      <c r="B293" s="2" t="s">
        <v>509</v>
      </c>
      <c r="C293" s="4">
        <v>387.2</v>
      </c>
    </row>
    <row r="294" spans="1:4" x14ac:dyDescent="0.35">
      <c r="A294" s="2" t="s">
        <v>773</v>
      </c>
      <c r="B294" s="2" t="s">
        <v>509</v>
      </c>
      <c r="C294" s="4">
        <v>465.3</v>
      </c>
    </row>
    <row r="295" spans="1:4" x14ac:dyDescent="0.35">
      <c r="A295" s="2" t="s">
        <v>783</v>
      </c>
      <c r="B295" s="2" t="s">
        <v>509</v>
      </c>
      <c r="C295" s="4">
        <v>503.8</v>
      </c>
    </row>
    <row r="296" spans="1:4" x14ac:dyDescent="0.35">
      <c r="A296" s="2" t="s">
        <v>784</v>
      </c>
      <c r="B296" s="2" t="s">
        <v>509</v>
      </c>
      <c r="C296" s="4">
        <v>465.3</v>
      </c>
    </row>
    <row r="297" spans="1:4" x14ac:dyDescent="0.35">
      <c r="A297" s="2" t="s">
        <v>797</v>
      </c>
      <c r="B297" s="2" t="s">
        <v>509</v>
      </c>
      <c r="C297" s="4">
        <v>348.7</v>
      </c>
      <c r="D297">
        <v>80</v>
      </c>
    </row>
    <row r="298" spans="1:4" x14ac:dyDescent="0.35">
      <c r="A298" s="2" t="s">
        <v>798</v>
      </c>
      <c r="B298" s="2" t="s">
        <v>509</v>
      </c>
      <c r="C298" s="4">
        <v>348.7</v>
      </c>
      <c r="D298">
        <v>90</v>
      </c>
    </row>
    <row r="299" spans="1:4" x14ac:dyDescent="0.35">
      <c r="A299" s="2" t="s">
        <v>799</v>
      </c>
      <c r="B299" s="2" t="s">
        <v>509</v>
      </c>
      <c r="C299" s="4">
        <v>348.7</v>
      </c>
      <c r="D299">
        <v>108</v>
      </c>
    </row>
    <row r="300" spans="1:4" x14ac:dyDescent="0.35">
      <c r="A300" s="2" t="s">
        <v>800</v>
      </c>
      <c r="B300" s="2" t="s">
        <v>509</v>
      </c>
      <c r="C300" s="4">
        <v>348.7</v>
      </c>
      <c r="D300">
        <v>125</v>
      </c>
    </row>
    <row r="301" spans="1:4" x14ac:dyDescent="0.35">
      <c r="A301" s="2" t="s">
        <v>801</v>
      </c>
      <c r="B301" s="2" t="s">
        <v>509</v>
      </c>
      <c r="C301" s="4">
        <v>348.7</v>
      </c>
      <c r="D301">
        <v>158</v>
      </c>
    </row>
    <row r="302" spans="1:4" x14ac:dyDescent="0.35">
      <c r="A302" s="2" t="s">
        <v>505</v>
      </c>
      <c r="B302" s="2" t="s">
        <v>506</v>
      </c>
      <c r="C302" s="4">
        <v>29.7</v>
      </c>
      <c r="D302">
        <v>175</v>
      </c>
    </row>
    <row r="303" spans="1:4" x14ac:dyDescent="0.35">
      <c r="A303" s="2" t="s">
        <v>507</v>
      </c>
      <c r="B303" s="2" t="s">
        <v>506</v>
      </c>
      <c r="C303" s="4">
        <v>29.7</v>
      </c>
      <c r="D303">
        <v>448</v>
      </c>
    </row>
    <row r="304" spans="1:4" x14ac:dyDescent="0.35">
      <c r="A304" s="2" t="s">
        <v>510</v>
      </c>
      <c r="B304" s="2" t="s">
        <v>506</v>
      </c>
      <c r="C304" s="4">
        <v>52.8</v>
      </c>
      <c r="D304">
        <v>550</v>
      </c>
    </row>
    <row r="305" spans="1:4" x14ac:dyDescent="0.35">
      <c r="A305" s="2" t="s">
        <v>519</v>
      </c>
      <c r="B305" s="2" t="s">
        <v>506</v>
      </c>
      <c r="C305" s="4">
        <v>55</v>
      </c>
      <c r="D305">
        <v>665</v>
      </c>
    </row>
    <row r="306" spans="1:4" x14ac:dyDescent="0.35">
      <c r="A306" s="2" t="s">
        <v>520</v>
      </c>
      <c r="B306" s="2" t="s">
        <v>506</v>
      </c>
      <c r="C306" s="4">
        <v>62.7</v>
      </c>
      <c r="D306">
        <v>1466</v>
      </c>
    </row>
    <row r="307" spans="1:4" x14ac:dyDescent="0.35">
      <c r="A307" s="2" t="s">
        <v>521</v>
      </c>
      <c r="B307" s="2" t="s">
        <v>506</v>
      </c>
      <c r="C307" s="4">
        <v>55</v>
      </c>
      <c r="D307">
        <v>1879</v>
      </c>
    </row>
    <row r="308" spans="1:4" x14ac:dyDescent="0.35">
      <c r="A308" s="2" t="s">
        <v>522</v>
      </c>
      <c r="B308" s="2" t="s">
        <v>506</v>
      </c>
      <c r="C308" s="4">
        <v>85.8</v>
      </c>
    </row>
    <row r="309" spans="1:4" x14ac:dyDescent="0.35">
      <c r="A309" s="2" t="s">
        <v>523</v>
      </c>
      <c r="B309" s="2" t="s">
        <v>506</v>
      </c>
      <c r="C309" s="4">
        <v>55</v>
      </c>
    </row>
    <row r="310" spans="1:4" x14ac:dyDescent="0.35">
      <c r="A310" s="2" t="s">
        <v>526</v>
      </c>
      <c r="B310" s="2" t="s">
        <v>506</v>
      </c>
      <c r="C310" s="4">
        <v>85.8</v>
      </c>
    </row>
    <row r="311" spans="1:4" x14ac:dyDescent="0.35">
      <c r="A311" s="2" t="s">
        <v>547</v>
      </c>
      <c r="B311" s="2" t="s">
        <v>506</v>
      </c>
      <c r="C311" s="4">
        <v>29.7</v>
      </c>
    </row>
    <row r="312" spans="1:4" x14ac:dyDescent="0.35">
      <c r="A312" s="2" t="s">
        <v>548</v>
      </c>
      <c r="B312" s="2" t="s">
        <v>506</v>
      </c>
      <c r="C312" s="4">
        <v>30.8</v>
      </c>
    </row>
    <row r="313" spans="1:4" x14ac:dyDescent="0.35">
      <c r="A313" s="2" t="s">
        <v>550</v>
      </c>
      <c r="B313" s="2" t="s">
        <v>506</v>
      </c>
      <c r="C313" s="4">
        <v>70.400000000000006</v>
      </c>
    </row>
    <row r="314" spans="1:4" x14ac:dyDescent="0.35">
      <c r="A314" s="2" t="s">
        <v>555</v>
      </c>
      <c r="B314" s="2" t="s">
        <v>506</v>
      </c>
      <c r="C314" s="4">
        <v>62.7</v>
      </c>
    </row>
    <row r="315" spans="1:4" x14ac:dyDescent="0.35">
      <c r="A315" s="2" t="s">
        <v>556</v>
      </c>
      <c r="B315" s="2" t="s">
        <v>506</v>
      </c>
      <c r="C315" s="4">
        <v>73.7</v>
      </c>
      <c r="D315">
        <v>125</v>
      </c>
    </row>
    <row r="316" spans="1:4" x14ac:dyDescent="0.35">
      <c r="A316" s="2" t="s">
        <v>557</v>
      </c>
      <c r="B316" s="2" t="s">
        <v>506</v>
      </c>
      <c r="C316" s="4">
        <v>70.400000000000006</v>
      </c>
      <c r="D316">
        <v>175</v>
      </c>
    </row>
    <row r="317" spans="1:4" x14ac:dyDescent="0.35">
      <c r="A317" s="2" t="s">
        <v>558</v>
      </c>
      <c r="B317" s="2" t="s">
        <v>506</v>
      </c>
      <c r="C317" s="4">
        <v>85.8</v>
      </c>
      <c r="D317">
        <v>225</v>
      </c>
    </row>
    <row r="318" spans="1:4" x14ac:dyDescent="0.35">
      <c r="A318" s="2" t="s">
        <v>559</v>
      </c>
      <c r="B318" s="2" t="s">
        <v>506</v>
      </c>
      <c r="C318" s="4">
        <v>70.400000000000006</v>
      </c>
      <c r="D318">
        <v>300</v>
      </c>
    </row>
    <row r="319" spans="1:4" x14ac:dyDescent="0.35">
      <c r="A319" s="2" t="s">
        <v>562</v>
      </c>
      <c r="B319" s="2" t="s">
        <v>506</v>
      </c>
      <c r="C319" s="4">
        <v>93.5</v>
      </c>
      <c r="D319">
        <v>500</v>
      </c>
    </row>
    <row r="320" spans="1:4" x14ac:dyDescent="0.35">
      <c r="A320" s="2" t="s">
        <v>576</v>
      </c>
      <c r="B320" s="2" t="s">
        <v>506</v>
      </c>
      <c r="C320" s="4">
        <v>38.5</v>
      </c>
      <c r="D320">
        <v>600</v>
      </c>
    </row>
    <row r="321" spans="1:4" x14ac:dyDescent="0.35">
      <c r="A321" s="2" t="s">
        <v>577</v>
      </c>
      <c r="B321" s="2" t="s">
        <v>506</v>
      </c>
      <c r="C321" s="4">
        <v>40.700000000000003</v>
      </c>
      <c r="D321">
        <v>750</v>
      </c>
    </row>
    <row r="322" spans="1:4" x14ac:dyDescent="0.35">
      <c r="A322" s="2" t="s">
        <v>579</v>
      </c>
      <c r="B322" s="2" t="s">
        <v>506</v>
      </c>
      <c r="C322" s="4">
        <v>70.400000000000006</v>
      </c>
      <c r="D322">
        <v>1200</v>
      </c>
    </row>
    <row r="323" spans="1:4" x14ac:dyDescent="0.35">
      <c r="A323" s="2" t="s">
        <v>584</v>
      </c>
      <c r="B323" s="2" t="s">
        <v>506</v>
      </c>
      <c r="C323" s="4">
        <v>79.2</v>
      </c>
      <c r="D323">
        <v>2000</v>
      </c>
    </row>
    <row r="324" spans="1:4" x14ac:dyDescent="0.35">
      <c r="A324" s="2" t="s">
        <v>585</v>
      </c>
      <c r="B324" s="2" t="s">
        <v>506</v>
      </c>
      <c r="C324" s="4">
        <v>78.099999999999994</v>
      </c>
    </row>
    <row r="325" spans="1:4" x14ac:dyDescent="0.35">
      <c r="A325" s="2" t="s">
        <v>586</v>
      </c>
      <c r="B325" s="2" t="s">
        <v>506</v>
      </c>
      <c r="C325" s="4">
        <v>79.2</v>
      </c>
    </row>
    <row r="326" spans="1:4" x14ac:dyDescent="0.35">
      <c r="A326" s="2" t="s">
        <v>587</v>
      </c>
      <c r="B326" s="2" t="s">
        <v>506</v>
      </c>
      <c r="C326" s="4">
        <v>96.8</v>
      </c>
    </row>
    <row r="327" spans="1:4" x14ac:dyDescent="0.35">
      <c r="A327" s="2" t="s">
        <v>588</v>
      </c>
      <c r="B327" s="2" t="s">
        <v>506</v>
      </c>
      <c r="C327" s="4">
        <v>79.2</v>
      </c>
    </row>
    <row r="328" spans="1:4" x14ac:dyDescent="0.35">
      <c r="A328" s="2" t="s">
        <v>591</v>
      </c>
      <c r="B328" s="2" t="s">
        <v>506</v>
      </c>
      <c r="C328" s="4">
        <v>108.9</v>
      </c>
    </row>
    <row r="329" spans="1:4" x14ac:dyDescent="0.35">
      <c r="A329" s="2" t="s">
        <v>607</v>
      </c>
      <c r="B329" s="2" t="s">
        <v>506</v>
      </c>
      <c r="C329" s="4">
        <v>53.9</v>
      </c>
    </row>
    <row r="330" spans="1:4" x14ac:dyDescent="0.35">
      <c r="A330" s="2" t="s">
        <v>608</v>
      </c>
      <c r="B330" s="2" t="s">
        <v>506</v>
      </c>
      <c r="C330" s="4">
        <v>53.9</v>
      </c>
    </row>
    <row r="331" spans="1:4" x14ac:dyDescent="0.35">
      <c r="A331" s="2" t="s">
        <v>610</v>
      </c>
      <c r="B331" s="2" t="s">
        <v>506</v>
      </c>
      <c r="C331" s="4">
        <v>94.6</v>
      </c>
      <c r="D331">
        <v>60</v>
      </c>
    </row>
    <row r="332" spans="1:4" x14ac:dyDescent="0.35">
      <c r="A332" s="2" t="s">
        <v>615</v>
      </c>
      <c r="B332" s="2" t="s">
        <v>506</v>
      </c>
      <c r="C332" s="4">
        <v>85.8</v>
      </c>
      <c r="D332">
        <v>90</v>
      </c>
    </row>
    <row r="333" spans="1:4" x14ac:dyDescent="0.35">
      <c r="A333" s="2" t="s">
        <v>616</v>
      </c>
      <c r="B333" s="2" t="s">
        <v>506</v>
      </c>
      <c r="C333" s="4">
        <v>82.5</v>
      </c>
      <c r="D333">
        <v>120</v>
      </c>
    </row>
    <row r="334" spans="1:4" x14ac:dyDescent="0.35">
      <c r="A334" s="2" t="s">
        <v>617</v>
      </c>
      <c r="B334" s="2" t="s">
        <v>506</v>
      </c>
      <c r="C334" s="4">
        <v>85.8</v>
      </c>
      <c r="D334">
        <v>170</v>
      </c>
    </row>
    <row r="335" spans="1:4" x14ac:dyDescent="0.35">
      <c r="A335" s="2" t="s">
        <v>618</v>
      </c>
      <c r="B335" s="2" t="s">
        <v>506</v>
      </c>
      <c r="C335" s="4">
        <v>101.2</v>
      </c>
      <c r="D335">
        <v>350</v>
      </c>
    </row>
    <row r="336" spans="1:4" x14ac:dyDescent="0.35">
      <c r="A336" s="2" t="s">
        <v>619</v>
      </c>
      <c r="B336" s="2" t="s">
        <v>506</v>
      </c>
      <c r="C336" s="4">
        <v>85.8</v>
      </c>
      <c r="D336">
        <v>410</v>
      </c>
    </row>
    <row r="337" spans="1:4" x14ac:dyDescent="0.35">
      <c r="A337" s="2" t="s">
        <v>622</v>
      </c>
      <c r="B337" s="2" t="s">
        <v>506</v>
      </c>
      <c r="C337" s="4">
        <v>132</v>
      </c>
      <c r="D337">
        <v>570</v>
      </c>
    </row>
    <row r="338" spans="1:4" x14ac:dyDescent="0.35">
      <c r="A338" s="2" t="s">
        <v>638</v>
      </c>
      <c r="B338" s="2" t="s">
        <v>506</v>
      </c>
      <c r="C338" s="4">
        <v>75.900000000000006</v>
      </c>
      <c r="D338">
        <v>800</v>
      </c>
    </row>
    <row r="339" spans="1:4" x14ac:dyDescent="0.35">
      <c r="A339" s="2" t="s">
        <v>639</v>
      </c>
      <c r="B339" s="2" t="s">
        <v>506</v>
      </c>
      <c r="C339" s="4">
        <v>77</v>
      </c>
      <c r="D339">
        <v>1500</v>
      </c>
    </row>
    <row r="340" spans="1:4" x14ac:dyDescent="0.35">
      <c r="A340" s="2" t="s">
        <v>641</v>
      </c>
      <c r="B340" s="2" t="s">
        <v>506</v>
      </c>
      <c r="C340" s="4">
        <v>196.9</v>
      </c>
      <c r="D340">
        <v>1700</v>
      </c>
    </row>
    <row r="341" spans="1:4" x14ac:dyDescent="0.35">
      <c r="A341" s="2" t="s">
        <v>646</v>
      </c>
      <c r="B341" s="2" t="s">
        <v>506</v>
      </c>
      <c r="C341" s="4">
        <v>101.2</v>
      </c>
      <c r="D341">
        <v>40</v>
      </c>
    </row>
    <row r="342" spans="1:4" x14ac:dyDescent="0.35">
      <c r="A342" s="2" t="s">
        <v>647</v>
      </c>
      <c r="B342" s="2" t="s">
        <v>506</v>
      </c>
      <c r="C342" s="4">
        <v>97.9</v>
      </c>
      <c r="D342">
        <v>45</v>
      </c>
    </row>
    <row r="343" spans="1:4" x14ac:dyDescent="0.35">
      <c r="A343" s="2" t="s">
        <v>648</v>
      </c>
      <c r="B343" s="2" t="s">
        <v>506</v>
      </c>
      <c r="C343" s="4">
        <v>101.2</v>
      </c>
      <c r="D343">
        <v>50</v>
      </c>
    </row>
    <row r="344" spans="1:4" x14ac:dyDescent="0.35">
      <c r="A344" s="2" t="s">
        <v>649</v>
      </c>
      <c r="B344" s="2" t="s">
        <v>506</v>
      </c>
      <c r="C344" s="4">
        <v>169.4</v>
      </c>
      <c r="D344">
        <v>60</v>
      </c>
    </row>
    <row r="345" spans="1:4" x14ac:dyDescent="0.35">
      <c r="A345" s="2" t="s">
        <v>650</v>
      </c>
      <c r="B345" s="2" t="s">
        <v>506</v>
      </c>
      <c r="C345" s="4">
        <v>178.2</v>
      </c>
      <c r="D345">
        <v>70</v>
      </c>
    </row>
    <row r="346" spans="1:4" x14ac:dyDescent="0.35">
      <c r="A346" s="2" t="s">
        <v>653</v>
      </c>
      <c r="B346" s="2" t="s">
        <v>506</v>
      </c>
      <c r="C346" s="4">
        <v>193.6</v>
      </c>
      <c r="D346">
        <v>110</v>
      </c>
    </row>
    <row r="347" spans="1:4" x14ac:dyDescent="0.35">
      <c r="A347" s="2" t="s">
        <v>669</v>
      </c>
      <c r="B347" s="2" t="s">
        <v>506</v>
      </c>
      <c r="C347" s="4">
        <v>94.6</v>
      </c>
      <c r="D347">
        <v>140</v>
      </c>
    </row>
    <row r="348" spans="1:4" x14ac:dyDescent="0.35">
      <c r="A348" s="2" t="s">
        <v>670</v>
      </c>
      <c r="B348" s="2" t="s">
        <v>506</v>
      </c>
      <c r="C348" s="4">
        <v>94.6</v>
      </c>
      <c r="D348">
        <v>160</v>
      </c>
    </row>
    <row r="349" spans="1:4" x14ac:dyDescent="0.35">
      <c r="A349" s="2" t="s">
        <v>672</v>
      </c>
      <c r="B349" s="2" t="s">
        <v>506</v>
      </c>
      <c r="C349" s="4">
        <v>148.5</v>
      </c>
      <c r="D349">
        <v>190</v>
      </c>
    </row>
    <row r="350" spans="1:4" x14ac:dyDescent="0.35">
      <c r="A350" s="2" t="s">
        <v>677</v>
      </c>
      <c r="B350" s="2" t="s">
        <v>506</v>
      </c>
      <c r="C350" s="4">
        <v>173.8</v>
      </c>
      <c r="D350">
        <v>390</v>
      </c>
    </row>
    <row r="351" spans="1:4" x14ac:dyDescent="0.35">
      <c r="A351" s="2" t="s">
        <v>678</v>
      </c>
      <c r="B351" s="2" t="s">
        <v>506</v>
      </c>
      <c r="C351" s="4">
        <v>104.5</v>
      </c>
      <c r="D351">
        <v>430</v>
      </c>
    </row>
    <row r="352" spans="1:4" x14ac:dyDescent="0.35">
      <c r="A352" s="2" t="s">
        <v>679</v>
      </c>
      <c r="B352" s="2" t="s">
        <v>506</v>
      </c>
      <c r="C352" s="4">
        <v>173.8</v>
      </c>
      <c r="D352">
        <v>550</v>
      </c>
    </row>
    <row r="353" spans="1:4" x14ac:dyDescent="0.35">
      <c r="A353" s="2" t="s">
        <v>680</v>
      </c>
      <c r="B353" s="2" t="s">
        <v>506</v>
      </c>
      <c r="C353" s="4">
        <v>193.6</v>
      </c>
      <c r="D353">
        <v>1100</v>
      </c>
    </row>
    <row r="354" spans="1:4" x14ac:dyDescent="0.35">
      <c r="A354" s="2" t="s">
        <v>683</v>
      </c>
      <c r="B354" s="2" t="s">
        <v>506</v>
      </c>
      <c r="C354" s="4">
        <v>193.6</v>
      </c>
      <c r="D354">
        <v>1300</v>
      </c>
    </row>
    <row r="355" spans="1:4" x14ac:dyDescent="0.35">
      <c r="A355" s="2" t="s">
        <v>701</v>
      </c>
      <c r="B355" s="2" t="s">
        <v>506</v>
      </c>
      <c r="C355" s="4">
        <v>202.4</v>
      </c>
      <c r="D355">
        <v>1450</v>
      </c>
    </row>
    <row r="356" spans="1:4" x14ac:dyDescent="0.35">
      <c r="A356" s="2" t="s">
        <v>702</v>
      </c>
      <c r="B356" s="2" t="s">
        <v>506</v>
      </c>
      <c r="C356" s="4">
        <v>210.1</v>
      </c>
    </row>
    <row r="357" spans="1:4" x14ac:dyDescent="0.35">
      <c r="A357" s="2" t="s">
        <v>704</v>
      </c>
      <c r="B357" s="2" t="s">
        <v>506</v>
      </c>
      <c r="C357" s="4">
        <v>225.5</v>
      </c>
    </row>
    <row r="358" spans="1:4" x14ac:dyDescent="0.35">
      <c r="A358" s="2" t="s">
        <v>709</v>
      </c>
      <c r="B358" s="2" t="s">
        <v>506</v>
      </c>
      <c r="C358" s="4">
        <v>217.8</v>
      </c>
    </row>
    <row r="359" spans="1:4" x14ac:dyDescent="0.35">
      <c r="A359" s="2" t="s">
        <v>710</v>
      </c>
      <c r="B359" s="2" t="s">
        <v>506</v>
      </c>
      <c r="C359" s="4">
        <v>240.9</v>
      </c>
    </row>
    <row r="360" spans="1:4" x14ac:dyDescent="0.35">
      <c r="A360" s="2" t="s">
        <v>711</v>
      </c>
      <c r="B360" s="2" t="s">
        <v>506</v>
      </c>
      <c r="C360" s="4">
        <v>240.9</v>
      </c>
    </row>
    <row r="361" spans="1:4" x14ac:dyDescent="0.35">
      <c r="A361" s="2" t="s">
        <v>712</v>
      </c>
      <c r="B361" s="2" t="s">
        <v>506</v>
      </c>
      <c r="C361" s="4">
        <v>240.9</v>
      </c>
    </row>
    <row r="362" spans="1:4" x14ac:dyDescent="0.35">
      <c r="A362" s="2" t="s">
        <v>715</v>
      </c>
      <c r="B362" s="2" t="s">
        <v>506</v>
      </c>
      <c r="C362" s="4">
        <v>233.2</v>
      </c>
    </row>
    <row r="363" spans="1:4" x14ac:dyDescent="0.35">
      <c r="A363" s="2" t="s">
        <v>733</v>
      </c>
      <c r="B363" s="2" t="s">
        <v>506</v>
      </c>
      <c r="C363" s="4">
        <v>207.9</v>
      </c>
    </row>
    <row r="364" spans="1:4" x14ac:dyDescent="0.35">
      <c r="A364" s="2" t="s">
        <v>734</v>
      </c>
      <c r="B364" s="2" t="s">
        <v>506</v>
      </c>
      <c r="C364" s="4">
        <v>248.6</v>
      </c>
    </row>
    <row r="365" spans="1:4" x14ac:dyDescent="0.35">
      <c r="A365" s="2" t="s">
        <v>736</v>
      </c>
      <c r="B365" s="2" t="s">
        <v>506</v>
      </c>
      <c r="C365" s="4">
        <v>325.60000000000002</v>
      </c>
    </row>
    <row r="366" spans="1:4" x14ac:dyDescent="0.35">
      <c r="A366" s="2" t="s">
        <v>738</v>
      </c>
      <c r="B366" s="2" t="s">
        <v>506</v>
      </c>
      <c r="C366" s="4">
        <v>341</v>
      </c>
    </row>
    <row r="367" spans="1:4" x14ac:dyDescent="0.35">
      <c r="A367" s="2" t="s">
        <v>743</v>
      </c>
      <c r="B367" s="2" t="s">
        <v>506</v>
      </c>
      <c r="C367" s="4">
        <v>390.5</v>
      </c>
    </row>
    <row r="368" spans="1:4" x14ac:dyDescent="0.35">
      <c r="A368" s="2" t="s">
        <v>744</v>
      </c>
      <c r="B368" s="2" t="s">
        <v>506</v>
      </c>
      <c r="C368" s="4">
        <v>193.6</v>
      </c>
    </row>
    <row r="369" spans="1:3" x14ac:dyDescent="0.35">
      <c r="A369" s="2" t="s">
        <v>745</v>
      </c>
      <c r="B369" s="2" t="s">
        <v>506</v>
      </c>
      <c r="C369" s="4">
        <v>390.5</v>
      </c>
    </row>
    <row r="370" spans="1:3" x14ac:dyDescent="0.35">
      <c r="A370" s="2" t="s">
        <v>746</v>
      </c>
      <c r="B370" s="2" t="s">
        <v>506</v>
      </c>
      <c r="C370" s="4">
        <v>260.7</v>
      </c>
    </row>
    <row r="371" spans="1:3" x14ac:dyDescent="0.35">
      <c r="A371" s="2" t="s">
        <v>749</v>
      </c>
      <c r="B371" s="2" t="s">
        <v>506</v>
      </c>
      <c r="C371" s="4">
        <v>260.7</v>
      </c>
    </row>
    <row r="372" spans="1:3" x14ac:dyDescent="0.35">
      <c r="A372" s="2" t="s">
        <v>769</v>
      </c>
      <c r="B372" s="2" t="s">
        <v>506</v>
      </c>
      <c r="C372" s="4">
        <v>264</v>
      </c>
    </row>
    <row r="373" spans="1:3" x14ac:dyDescent="0.35">
      <c r="A373" s="2" t="s">
        <v>770</v>
      </c>
      <c r="B373" s="2" t="s">
        <v>506</v>
      </c>
      <c r="C373" s="4">
        <v>302.5</v>
      </c>
    </row>
    <row r="374" spans="1:3" x14ac:dyDescent="0.35">
      <c r="A374" s="2" t="s">
        <v>772</v>
      </c>
      <c r="B374" s="2" t="s">
        <v>506</v>
      </c>
      <c r="C374" s="4">
        <v>325.60000000000002</v>
      </c>
    </row>
    <row r="375" spans="1:3" x14ac:dyDescent="0.35">
      <c r="A375" s="2" t="s">
        <v>774</v>
      </c>
      <c r="B375" s="2" t="s">
        <v>506</v>
      </c>
      <c r="C375" s="4">
        <v>387.2</v>
      </c>
    </row>
    <row r="376" spans="1:3" x14ac:dyDescent="0.35">
      <c r="A376" s="2" t="s">
        <v>779</v>
      </c>
      <c r="B376" s="2" t="s">
        <v>506</v>
      </c>
      <c r="C376" s="4">
        <v>390.5</v>
      </c>
    </row>
    <row r="377" spans="1:3" x14ac:dyDescent="0.35">
      <c r="A377" s="2" t="s">
        <v>780</v>
      </c>
      <c r="B377" s="2" t="s">
        <v>506</v>
      </c>
      <c r="C377" s="4">
        <v>234.3</v>
      </c>
    </row>
    <row r="378" spans="1:3" x14ac:dyDescent="0.35">
      <c r="A378" s="2" t="s">
        <v>781</v>
      </c>
      <c r="B378" s="2" t="s">
        <v>506</v>
      </c>
      <c r="C378" s="4">
        <v>390.5</v>
      </c>
    </row>
    <row r="379" spans="1:3" x14ac:dyDescent="0.35">
      <c r="A379" s="2" t="s">
        <v>782</v>
      </c>
      <c r="B379" s="2" t="s">
        <v>506</v>
      </c>
      <c r="C379" s="4">
        <v>387.2</v>
      </c>
    </row>
    <row r="380" spans="1:3" x14ac:dyDescent="0.35">
      <c r="A380" s="2" t="s">
        <v>785</v>
      </c>
      <c r="B380" s="2" t="s">
        <v>506</v>
      </c>
      <c r="C380" s="4">
        <v>442.2</v>
      </c>
    </row>
    <row r="381" spans="1:3" x14ac:dyDescent="0.35">
      <c r="A381" s="2" t="s">
        <v>373</v>
      </c>
      <c r="B381" s="2" t="s">
        <v>374</v>
      </c>
      <c r="C381" s="4">
        <v>8.8000000000000007</v>
      </c>
    </row>
    <row r="382" spans="1:3" x14ac:dyDescent="0.35">
      <c r="A382" s="2" t="s">
        <v>371</v>
      </c>
      <c r="B382" s="2" t="s">
        <v>372</v>
      </c>
      <c r="C382" s="4">
        <v>8.8000000000000007</v>
      </c>
    </row>
    <row r="383" spans="1:3" x14ac:dyDescent="0.35">
      <c r="A383" s="2" t="s">
        <v>540</v>
      </c>
      <c r="B383" s="2" t="s">
        <v>541</v>
      </c>
      <c r="C383" s="4">
        <v>14.3</v>
      </c>
    </row>
    <row r="384" spans="1:3" x14ac:dyDescent="0.35">
      <c r="A384" s="2" t="s">
        <v>570</v>
      </c>
      <c r="B384" s="2" t="s">
        <v>541</v>
      </c>
      <c r="C384" s="4">
        <v>16.5</v>
      </c>
    </row>
    <row r="385" spans="1:3" x14ac:dyDescent="0.35">
      <c r="A385" s="2" t="s">
        <v>600</v>
      </c>
      <c r="B385" s="2" t="s">
        <v>541</v>
      </c>
      <c r="C385" s="4">
        <v>20.9</v>
      </c>
    </row>
    <row r="386" spans="1:3" x14ac:dyDescent="0.35">
      <c r="A386" s="2" t="s">
        <v>631</v>
      </c>
      <c r="B386" s="2" t="s">
        <v>541</v>
      </c>
      <c r="C386" s="4">
        <v>24.2</v>
      </c>
    </row>
    <row r="387" spans="1:3" x14ac:dyDescent="0.35">
      <c r="A387" s="2" t="s">
        <v>662</v>
      </c>
      <c r="B387" s="2" t="s">
        <v>541</v>
      </c>
      <c r="C387" s="4">
        <v>37.4</v>
      </c>
    </row>
    <row r="388" spans="1:3" x14ac:dyDescent="0.35">
      <c r="A388" s="2" t="s">
        <v>693</v>
      </c>
      <c r="B388" s="2" t="s">
        <v>541</v>
      </c>
      <c r="C388" s="4">
        <v>47.3</v>
      </c>
    </row>
    <row r="389" spans="1:3" x14ac:dyDescent="0.35">
      <c r="A389" s="2" t="s">
        <v>725</v>
      </c>
      <c r="B389" s="2" t="s">
        <v>541</v>
      </c>
      <c r="C389" s="4">
        <v>66</v>
      </c>
    </row>
    <row r="390" spans="1:3" x14ac:dyDescent="0.35">
      <c r="A390" s="2" t="s">
        <v>760</v>
      </c>
      <c r="B390" s="2" t="s">
        <v>541</v>
      </c>
      <c r="C390" s="4">
        <v>85.8</v>
      </c>
    </row>
    <row r="391" spans="1:3" x14ac:dyDescent="0.35">
      <c r="A391" s="2" t="s">
        <v>796</v>
      </c>
      <c r="B391" s="2" t="s">
        <v>541</v>
      </c>
      <c r="C391" s="4">
        <v>93.5</v>
      </c>
    </row>
    <row r="392" spans="1:3" x14ac:dyDescent="0.35">
      <c r="A392" s="2" t="s">
        <v>503</v>
      </c>
      <c r="B392" s="2" t="s">
        <v>504</v>
      </c>
      <c r="C392" s="4">
        <v>1.1000000000000001</v>
      </c>
    </row>
    <row r="393" spans="1:3" x14ac:dyDescent="0.35">
      <c r="A393" s="2" t="s">
        <v>546</v>
      </c>
      <c r="B393" s="2" t="s">
        <v>504</v>
      </c>
      <c r="C393" s="4">
        <v>1.1000000000000001</v>
      </c>
    </row>
    <row r="394" spans="1:3" x14ac:dyDescent="0.35">
      <c r="A394" s="2" t="s">
        <v>575</v>
      </c>
      <c r="B394" s="2" t="s">
        <v>504</v>
      </c>
      <c r="C394" s="4">
        <v>2.2000000000000002</v>
      </c>
    </row>
    <row r="395" spans="1:3" x14ac:dyDescent="0.35">
      <c r="A395" s="2" t="s">
        <v>606</v>
      </c>
      <c r="B395" s="2" t="s">
        <v>504</v>
      </c>
      <c r="C395" s="4">
        <v>2.2000000000000002</v>
      </c>
    </row>
    <row r="396" spans="1:3" x14ac:dyDescent="0.35">
      <c r="A396" s="2" t="s">
        <v>637</v>
      </c>
      <c r="B396" s="2" t="s">
        <v>504</v>
      </c>
      <c r="C396" s="4">
        <v>3.3</v>
      </c>
    </row>
    <row r="397" spans="1:3" x14ac:dyDescent="0.35">
      <c r="A397" s="2" t="s">
        <v>668</v>
      </c>
      <c r="B397" s="2" t="s">
        <v>504</v>
      </c>
      <c r="C397" s="4">
        <v>3.3</v>
      </c>
    </row>
    <row r="398" spans="1:3" x14ac:dyDescent="0.35">
      <c r="A398" s="2" t="s">
        <v>700</v>
      </c>
      <c r="B398" s="2" t="s">
        <v>504</v>
      </c>
      <c r="C398" s="4">
        <v>7.7</v>
      </c>
    </row>
    <row r="399" spans="1:3" x14ac:dyDescent="0.35">
      <c r="A399" s="2" t="s">
        <v>732</v>
      </c>
      <c r="B399" s="2" t="s">
        <v>504</v>
      </c>
      <c r="C399" s="4">
        <v>7.7</v>
      </c>
    </row>
    <row r="400" spans="1:3" x14ac:dyDescent="0.35">
      <c r="A400" s="2" t="s">
        <v>768</v>
      </c>
      <c r="B400" s="2" t="s">
        <v>504</v>
      </c>
      <c r="C400" s="4">
        <v>8.8000000000000007</v>
      </c>
    </row>
    <row r="401" spans="1:3" x14ac:dyDescent="0.35">
      <c r="A401" s="2" t="s">
        <v>538</v>
      </c>
      <c r="B401" s="2" t="s">
        <v>539</v>
      </c>
      <c r="C401" s="4">
        <v>3.3</v>
      </c>
    </row>
    <row r="402" spans="1:3" x14ac:dyDescent="0.35">
      <c r="A402" s="2" t="s">
        <v>569</v>
      </c>
      <c r="B402" s="2" t="s">
        <v>539</v>
      </c>
      <c r="C402" s="4">
        <v>3.3</v>
      </c>
    </row>
    <row r="403" spans="1:3" x14ac:dyDescent="0.35">
      <c r="A403" s="2" t="s">
        <v>599</v>
      </c>
      <c r="B403" s="2" t="s">
        <v>539</v>
      </c>
      <c r="C403" s="4">
        <v>3.3</v>
      </c>
    </row>
    <row r="404" spans="1:3" x14ac:dyDescent="0.35">
      <c r="A404" s="2" t="s">
        <v>630</v>
      </c>
      <c r="B404" s="2" t="s">
        <v>539</v>
      </c>
      <c r="C404" s="4">
        <v>3.3</v>
      </c>
    </row>
    <row r="405" spans="1:3" x14ac:dyDescent="0.35">
      <c r="A405" s="2" t="s">
        <v>661</v>
      </c>
      <c r="B405" s="2" t="s">
        <v>539</v>
      </c>
      <c r="C405" s="4">
        <v>7.7</v>
      </c>
    </row>
    <row r="406" spans="1:3" x14ac:dyDescent="0.35">
      <c r="A406" s="2" t="s">
        <v>692</v>
      </c>
      <c r="B406" s="2" t="s">
        <v>539</v>
      </c>
      <c r="C406" s="4">
        <v>8.8000000000000007</v>
      </c>
    </row>
    <row r="407" spans="1:3" x14ac:dyDescent="0.35">
      <c r="A407" s="2" t="s">
        <v>724</v>
      </c>
      <c r="B407" s="2" t="s">
        <v>539</v>
      </c>
      <c r="C407" s="4">
        <v>18.7</v>
      </c>
    </row>
    <row r="408" spans="1:3" x14ac:dyDescent="0.35">
      <c r="A408" s="2" t="s">
        <v>759</v>
      </c>
      <c r="B408" s="2" t="s">
        <v>539</v>
      </c>
      <c r="C408" s="4">
        <v>22</v>
      </c>
    </row>
    <row r="409" spans="1:3" x14ac:dyDescent="0.35">
      <c r="A409" s="2" t="s">
        <v>795</v>
      </c>
      <c r="B409" s="2" t="s">
        <v>539</v>
      </c>
      <c r="C409" s="4">
        <v>25.3</v>
      </c>
    </row>
    <row r="410" spans="1:3" x14ac:dyDescent="0.35">
      <c r="A410" s="2" t="s">
        <v>529</v>
      </c>
      <c r="B410" s="2" t="s">
        <v>530</v>
      </c>
      <c r="C410" s="4">
        <v>23.1</v>
      </c>
    </row>
    <row r="411" spans="1:3" x14ac:dyDescent="0.35">
      <c r="A411" s="2" t="s">
        <v>531</v>
      </c>
      <c r="B411" s="2" t="s">
        <v>530</v>
      </c>
      <c r="C411" s="4">
        <v>23.1</v>
      </c>
    </row>
    <row r="412" spans="1:3" x14ac:dyDescent="0.35">
      <c r="A412" s="2" t="s">
        <v>564</v>
      </c>
      <c r="B412" s="2" t="s">
        <v>530</v>
      </c>
      <c r="C412" s="4">
        <v>25.3</v>
      </c>
    </row>
    <row r="413" spans="1:3" x14ac:dyDescent="0.35">
      <c r="A413" s="2" t="s">
        <v>565</v>
      </c>
      <c r="B413" s="2" t="s">
        <v>530</v>
      </c>
      <c r="C413" s="4">
        <v>25.3</v>
      </c>
    </row>
    <row r="414" spans="1:3" x14ac:dyDescent="0.35">
      <c r="A414" s="2" t="s">
        <v>593</v>
      </c>
      <c r="B414" s="2" t="s">
        <v>530</v>
      </c>
      <c r="C414" s="4">
        <v>26.4</v>
      </c>
    </row>
    <row r="415" spans="1:3" x14ac:dyDescent="0.35">
      <c r="A415" s="2" t="s">
        <v>594</v>
      </c>
      <c r="B415" s="2" t="s">
        <v>530</v>
      </c>
      <c r="C415" s="4">
        <v>26.4</v>
      </c>
    </row>
    <row r="416" spans="1:3" x14ac:dyDescent="0.35">
      <c r="A416" s="2" t="s">
        <v>595</v>
      </c>
      <c r="B416" s="2" t="s">
        <v>530</v>
      </c>
      <c r="C416" s="4">
        <v>26.4</v>
      </c>
    </row>
    <row r="417" spans="1:3" x14ac:dyDescent="0.35">
      <c r="A417" s="2" t="s">
        <v>624</v>
      </c>
      <c r="B417" s="2" t="s">
        <v>530</v>
      </c>
      <c r="C417" s="4">
        <v>34.1</v>
      </c>
    </row>
    <row r="418" spans="1:3" x14ac:dyDescent="0.35">
      <c r="A418" s="2" t="s">
        <v>625</v>
      </c>
      <c r="B418" s="2" t="s">
        <v>530</v>
      </c>
      <c r="C418" s="4">
        <v>34.1</v>
      </c>
    </row>
    <row r="419" spans="1:3" x14ac:dyDescent="0.35">
      <c r="A419" s="2" t="s">
        <v>626</v>
      </c>
      <c r="B419" s="2" t="s">
        <v>530</v>
      </c>
      <c r="C419" s="4">
        <v>34.1</v>
      </c>
    </row>
    <row r="420" spans="1:3" x14ac:dyDescent="0.35">
      <c r="A420" s="2" t="s">
        <v>655</v>
      </c>
      <c r="B420" s="2" t="s">
        <v>530</v>
      </c>
      <c r="C420" s="4">
        <v>47.3</v>
      </c>
    </row>
    <row r="421" spans="1:3" x14ac:dyDescent="0.35">
      <c r="A421" s="2" t="s">
        <v>656</v>
      </c>
      <c r="B421" s="2" t="s">
        <v>530</v>
      </c>
      <c r="C421" s="4">
        <v>47.3</v>
      </c>
    </row>
    <row r="422" spans="1:3" x14ac:dyDescent="0.35">
      <c r="A422" s="2" t="s">
        <v>657</v>
      </c>
      <c r="B422" s="2" t="s">
        <v>530</v>
      </c>
      <c r="C422" s="4">
        <v>47.3</v>
      </c>
    </row>
    <row r="423" spans="1:3" x14ac:dyDescent="0.35">
      <c r="A423" s="2" t="s">
        <v>685</v>
      </c>
      <c r="B423" s="2" t="s">
        <v>530</v>
      </c>
      <c r="C423" s="4">
        <v>77</v>
      </c>
    </row>
    <row r="424" spans="1:3" x14ac:dyDescent="0.35">
      <c r="A424" s="2" t="s">
        <v>686</v>
      </c>
      <c r="B424" s="2" t="s">
        <v>530</v>
      </c>
      <c r="C424" s="4">
        <v>77</v>
      </c>
    </row>
    <row r="425" spans="1:3" x14ac:dyDescent="0.35">
      <c r="A425" s="2" t="s">
        <v>687</v>
      </c>
      <c r="B425" s="2" t="s">
        <v>530</v>
      </c>
      <c r="C425" s="4">
        <v>77</v>
      </c>
    </row>
    <row r="426" spans="1:3" x14ac:dyDescent="0.35">
      <c r="A426" s="2" t="s">
        <v>688</v>
      </c>
      <c r="B426" s="2" t="s">
        <v>530</v>
      </c>
      <c r="C426" s="4">
        <v>77</v>
      </c>
    </row>
    <row r="427" spans="1:3" x14ac:dyDescent="0.35">
      <c r="A427" s="2" t="s">
        <v>717</v>
      </c>
      <c r="B427" s="2" t="s">
        <v>530</v>
      </c>
      <c r="C427" s="4">
        <v>104.5</v>
      </c>
    </row>
    <row r="428" spans="1:3" x14ac:dyDescent="0.35">
      <c r="A428" s="2" t="s">
        <v>718</v>
      </c>
      <c r="B428" s="2" t="s">
        <v>530</v>
      </c>
      <c r="C428" s="4">
        <v>104.5</v>
      </c>
    </row>
    <row r="429" spans="1:3" x14ac:dyDescent="0.35">
      <c r="A429" s="2" t="s">
        <v>719</v>
      </c>
      <c r="B429" s="2" t="s">
        <v>530</v>
      </c>
      <c r="C429" s="4">
        <v>104.5</v>
      </c>
    </row>
    <row r="430" spans="1:3" x14ac:dyDescent="0.35">
      <c r="A430" s="2" t="s">
        <v>720</v>
      </c>
      <c r="B430" s="2" t="s">
        <v>530</v>
      </c>
      <c r="C430" s="4">
        <v>104.5</v>
      </c>
    </row>
    <row r="431" spans="1:3" x14ac:dyDescent="0.35">
      <c r="A431" s="2" t="s">
        <v>751</v>
      </c>
      <c r="B431" s="2" t="s">
        <v>530</v>
      </c>
      <c r="C431" s="4">
        <v>176</v>
      </c>
    </row>
    <row r="432" spans="1:3" x14ac:dyDescent="0.35">
      <c r="A432" s="2" t="s">
        <v>752</v>
      </c>
      <c r="B432" s="2" t="s">
        <v>530</v>
      </c>
      <c r="C432" s="4">
        <v>176</v>
      </c>
    </row>
    <row r="433" spans="1:3" x14ac:dyDescent="0.35">
      <c r="A433" s="2" t="s">
        <v>753</v>
      </c>
      <c r="B433" s="2" t="s">
        <v>530</v>
      </c>
      <c r="C433" s="4">
        <v>176</v>
      </c>
    </row>
    <row r="434" spans="1:3" x14ac:dyDescent="0.35">
      <c r="A434" s="2" t="s">
        <v>754</v>
      </c>
      <c r="B434" s="2" t="s">
        <v>530</v>
      </c>
      <c r="C434" s="4">
        <v>176</v>
      </c>
    </row>
    <row r="435" spans="1:3" x14ac:dyDescent="0.35">
      <c r="A435" s="2" t="s">
        <v>755</v>
      </c>
      <c r="B435" s="2" t="s">
        <v>530</v>
      </c>
      <c r="C435" s="4">
        <v>176</v>
      </c>
    </row>
    <row r="436" spans="1:3" x14ac:dyDescent="0.35">
      <c r="A436" s="2" t="s">
        <v>787</v>
      </c>
      <c r="B436" s="2" t="s">
        <v>530</v>
      </c>
      <c r="C436" s="4">
        <v>211.2</v>
      </c>
    </row>
    <row r="437" spans="1:3" x14ac:dyDescent="0.35">
      <c r="A437" s="2" t="s">
        <v>788</v>
      </c>
      <c r="B437" s="2" t="s">
        <v>530</v>
      </c>
      <c r="C437" s="4">
        <v>211.2</v>
      </c>
    </row>
    <row r="438" spans="1:3" x14ac:dyDescent="0.35">
      <c r="A438" s="2" t="s">
        <v>789</v>
      </c>
      <c r="B438" s="2" t="s">
        <v>530</v>
      </c>
      <c r="C438" s="4">
        <v>211.2</v>
      </c>
    </row>
    <row r="439" spans="1:3" x14ac:dyDescent="0.35">
      <c r="A439" s="2" t="s">
        <v>790</v>
      </c>
      <c r="B439" s="2" t="s">
        <v>530</v>
      </c>
      <c r="C439" s="4">
        <v>211.2</v>
      </c>
    </row>
    <row r="440" spans="1:3" x14ac:dyDescent="0.35">
      <c r="A440" s="2" t="s">
        <v>791</v>
      </c>
      <c r="B440" s="2" t="s">
        <v>530</v>
      </c>
      <c r="C440" s="4">
        <v>211.2</v>
      </c>
    </row>
    <row r="441" spans="1:3" x14ac:dyDescent="0.35">
      <c r="A441" s="2" t="s">
        <v>532</v>
      </c>
      <c r="B441" s="2" t="s">
        <v>533</v>
      </c>
      <c r="C441" s="4">
        <v>2.2000000000000002</v>
      </c>
    </row>
    <row r="442" spans="1:3" x14ac:dyDescent="0.35">
      <c r="A442" s="2" t="s">
        <v>566</v>
      </c>
      <c r="B442" s="2" t="s">
        <v>533</v>
      </c>
      <c r="C442" s="4">
        <v>3.3</v>
      </c>
    </row>
    <row r="443" spans="1:3" x14ac:dyDescent="0.35">
      <c r="A443" s="2" t="s">
        <v>596</v>
      </c>
      <c r="B443" s="2" t="s">
        <v>533</v>
      </c>
      <c r="C443" s="4">
        <v>3.3</v>
      </c>
    </row>
    <row r="444" spans="1:3" x14ac:dyDescent="0.35">
      <c r="A444" s="2" t="s">
        <v>627</v>
      </c>
      <c r="B444" s="2" t="s">
        <v>533</v>
      </c>
      <c r="C444" s="4">
        <v>3.3</v>
      </c>
    </row>
    <row r="445" spans="1:3" x14ac:dyDescent="0.35">
      <c r="A445" s="2" t="s">
        <v>658</v>
      </c>
      <c r="B445" s="2" t="s">
        <v>533</v>
      </c>
      <c r="C445" s="4">
        <v>4.4000000000000004</v>
      </c>
    </row>
    <row r="446" spans="1:3" x14ac:dyDescent="0.35">
      <c r="A446" s="2" t="s">
        <v>689</v>
      </c>
      <c r="B446" s="2" t="s">
        <v>533</v>
      </c>
      <c r="C446" s="4">
        <v>8.8000000000000007</v>
      </c>
    </row>
    <row r="447" spans="1:3" x14ac:dyDescent="0.35">
      <c r="A447" s="2" t="s">
        <v>721</v>
      </c>
      <c r="B447" s="2" t="s">
        <v>533</v>
      </c>
      <c r="C447" s="4">
        <v>11</v>
      </c>
    </row>
    <row r="448" spans="1:3" x14ac:dyDescent="0.35">
      <c r="A448" s="2" t="s">
        <v>756</v>
      </c>
      <c r="B448" s="2" t="s">
        <v>533</v>
      </c>
      <c r="C448" s="4">
        <v>18.7</v>
      </c>
    </row>
    <row r="449" spans="1:3" x14ac:dyDescent="0.35">
      <c r="A449" s="2" t="s">
        <v>792</v>
      </c>
      <c r="B449" s="2" t="s">
        <v>533</v>
      </c>
      <c r="C449" s="4">
        <v>19.8</v>
      </c>
    </row>
    <row r="450" spans="1:3" x14ac:dyDescent="0.35">
      <c r="A450" s="2" t="s">
        <v>501</v>
      </c>
      <c r="B450" s="2" t="s">
        <v>502</v>
      </c>
      <c r="C450" s="4">
        <v>1.1000000000000001</v>
      </c>
    </row>
    <row r="451" spans="1:3" x14ac:dyDescent="0.35">
      <c r="A451" s="2" t="s">
        <v>545</v>
      </c>
      <c r="B451" s="2" t="s">
        <v>502</v>
      </c>
      <c r="C451" s="4">
        <v>1.1000000000000001</v>
      </c>
    </row>
    <row r="452" spans="1:3" x14ac:dyDescent="0.35">
      <c r="A452" s="2" t="s">
        <v>574</v>
      </c>
      <c r="B452" s="2" t="s">
        <v>502</v>
      </c>
      <c r="C452" s="4">
        <v>1.1000000000000001</v>
      </c>
    </row>
    <row r="453" spans="1:3" x14ac:dyDescent="0.35">
      <c r="A453" s="2" t="s">
        <v>605</v>
      </c>
      <c r="B453" s="2" t="s">
        <v>502</v>
      </c>
      <c r="C453" s="4">
        <v>1.1000000000000001</v>
      </c>
    </row>
    <row r="454" spans="1:3" x14ac:dyDescent="0.35">
      <c r="A454" s="2" t="s">
        <v>636</v>
      </c>
      <c r="B454" s="2" t="s">
        <v>502</v>
      </c>
      <c r="C454" s="4">
        <v>1.1000000000000001</v>
      </c>
    </row>
    <row r="455" spans="1:3" x14ac:dyDescent="0.35">
      <c r="A455" s="2" t="s">
        <v>667</v>
      </c>
      <c r="B455" s="2" t="s">
        <v>502</v>
      </c>
      <c r="C455" s="4">
        <v>1.1000000000000001</v>
      </c>
    </row>
    <row r="456" spans="1:3" x14ac:dyDescent="0.35">
      <c r="A456" s="2" t="s">
        <v>699</v>
      </c>
      <c r="B456" s="2" t="s">
        <v>502</v>
      </c>
      <c r="C456" s="4">
        <v>1.1000000000000001</v>
      </c>
    </row>
    <row r="457" spans="1:3" x14ac:dyDescent="0.35">
      <c r="A457" s="2" t="s">
        <v>731</v>
      </c>
      <c r="B457" s="2" t="s">
        <v>502</v>
      </c>
      <c r="C457" s="4">
        <v>1.1000000000000001</v>
      </c>
    </row>
    <row r="458" spans="1:3" x14ac:dyDescent="0.35">
      <c r="A458" s="2" t="s">
        <v>767</v>
      </c>
      <c r="B458" s="2" t="s">
        <v>502</v>
      </c>
      <c r="C458" s="4">
        <v>2.2000000000000002</v>
      </c>
    </row>
    <row r="459" spans="1:3" x14ac:dyDescent="0.35">
      <c r="A459" s="2" t="s">
        <v>527</v>
      </c>
      <c r="B459" s="2" t="s">
        <v>528</v>
      </c>
      <c r="C459" s="4">
        <v>50.6</v>
      </c>
    </row>
    <row r="460" spans="1:3" x14ac:dyDescent="0.35">
      <c r="A460" s="2" t="s">
        <v>563</v>
      </c>
      <c r="B460" s="2" t="s">
        <v>528</v>
      </c>
      <c r="C460" s="4">
        <v>121</v>
      </c>
    </row>
    <row r="461" spans="1:3" x14ac:dyDescent="0.35">
      <c r="A461" s="2" t="s">
        <v>592</v>
      </c>
      <c r="B461" s="2" t="s">
        <v>528</v>
      </c>
      <c r="C461" s="4">
        <v>126.5</v>
      </c>
    </row>
    <row r="462" spans="1:3" x14ac:dyDescent="0.35">
      <c r="A462" s="2" t="s">
        <v>623</v>
      </c>
      <c r="B462" s="2" t="s">
        <v>528</v>
      </c>
      <c r="C462" s="4">
        <v>137.5</v>
      </c>
    </row>
    <row r="463" spans="1:3" x14ac:dyDescent="0.35">
      <c r="A463" s="2" t="s">
        <v>654</v>
      </c>
      <c r="B463" s="2" t="s">
        <v>528</v>
      </c>
      <c r="C463" s="4">
        <v>176</v>
      </c>
    </row>
    <row r="464" spans="1:3" x14ac:dyDescent="0.35">
      <c r="A464" s="2" t="s">
        <v>684</v>
      </c>
      <c r="B464" s="2" t="s">
        <v>528</v>
      </c>
      <c r="C464" s="4">
        <v>403.7</v>
      </c>
    </row>
    <row r="465" spans="1:3" x14ac:dyDescent="0.35">
      <c r="A465" s="2" t="s">
        <v>716</v>
      </c>
      <c r="B465" s="2" t="s">
        <v>528</v>
      </c>
      <c r="C465" s="4">
        <v>442.2</v>
      </c>
    </row>
    <row r="466" spans="1:3" x14ac:dyDescent="0.35">
      <c r="A466" s="2" t="s">
        <v>750</v>
      </c>
      <c r="B466" s="2" t="s">
        <v>528</v>
      </c>
      <c r="C466" s="4">
        <v>500.5</v>
      </c>
    </row>
    <row r="467" spans="1:3" x14ac:dyDescent="0.35">
      <c r="A467" s="2" t="s">
        <v>786</v>
      </c>
      <c r="B467" s="2" t="s">
        <v>528</v>
      </c>
      <c r="C467" s="4">
        <v>542.29999999999995</v>
      </c>
    </row>
    <row r="468" spans="1:3" x14ac:dyDescent="0.35">
      <c r="A468" s="2" t="s">
        <v>517</v>
      </c>
      <c r="B468" s="2" t="s">
        <v>518</v>
      </c>
      <c r="C468" s="4">
        <v>27.5</v>
      </c>
    </row>
    <row r="469" spans="1:3" x14ac:dyDescent="0.35">
      <c r="A469" s="2" t="s">
        <v>554</v>
      </c>
      <c r="B469" s="2" t="s">
        <v>518</v>
      </c>
      <c r="C469" s="4">
        <v>33</v>
      </c>
    </row>
    <row r="470" spans="1:3" x14ac:dyDescent="0.35">
      <c r="A470" s="2" t="s">
        <v>583</v>
      </c>
      <c r="B470" s="2" t="s">
        <v>518</v>
      </c>
      <c r="C470" s="4">
        <v>39.6</v>
      </c>
    </row>
    <row r="471" spans="1:3" x14ac:dyDescent="0.35">
      <c r="A471" s="2" t="s">
        <v>614</v>
      </c>
      <c r="B471" s="2" t="s">
        <v>518</v>
      </c>
      <c r="C471" s="4">
        <v>47.3</v>
      </c>
    </row>
    <row r="472" spans="1:3" x14ac:dyDescent="0.35">
      <c r="A472" s="2" t="s">
        <v>645</v>
      </c>
      <c r="B472" s="2" t="s">
        <v>518</v>
      </c>
      <c r="C472" s="4">
        <v>57.2</v>
      </c>
    </row>
    <row r="473" spans="1:3" x14ac:dyDescent="0.35">
      <c r="A473" s="2" t="s">
        <v>676</v>
      </c>
      <c r="B473" s="2" t="s">
        <v>518</v>
      </c>
      <c r="C473" s="4">
        <v>68.2</v>
      </c>
    </row>
    <row r="474" spans="1:3" x14ac:dyDescent="0.35">
      <c r="A474" s="2" t="s">
        <v>708</v>
      </c>
      <c r="B474" s="2" t="s">
        <v>518</v>
      </c>
      <c r="C474" s="4">
        <v>81.400000000000006</v>
      </c>
    </row>
    <row r="475" spans="1:3" x14ac:dyDescent="0.35">
      <c r="A475" s="2" t="s">
        <v>742</v>
      </c>
      <c r="B475" s="2" t="s">
        <v>518</v>
      </c>
      <c r="C475" s="4">
        <v>97.9</v>
      </c>
    </row>
    <row r="476" spans="1:3" x14ac:dyDescent="0.35">
      <c r="A476" s="2" t="s">
        <v>778</v>
      </c>
      <c r="B476" s="2" t="s">
        <v>518</v>
      </c>
      <c r="C476" s="4">
        <v>117.7</v>
      </c>
    </row>
    <row r="477" spans="1:3" x14ac:dyDescent="0.35">
      <c r="A477" s="2" t="s">
        <v>515</v>
      </c>
      <c r="B477" s="2" t="s">
        <v>516</v>
      </c>
      <c r="C477" s="4">
        <v>37.4</v>
      </c>
    </row>
    <row r="478" spans="1:3" x14ac:dyDescent="0.35">
      <c r="A478" s="2" t="s">
        <v>553</v>
      </c>
      <c r="B478" s="2" t="s">
        <v>516</v>
      </c>
      <c r="C478" s="4">
        <v>45.1</v>
      </c>
    </row>
    <row r="479" spans="1:3" x14ac:dyDescent="0.35">
      <c r="A479" s="2" t="s">
        <v>582</v>
      </c>
      <c r="B479" s="2" t="s">
        <v>516</v>
      </c>
      <c r="C479" s="4">
        <v>53.9</v>
      </c>
    </row>
    <row r="480" spans="1:3" x14ac:dyDescent="0.35">
      <c r="A480" s="2" t="s">
        <v>613</v>
      </c>
      <c r="B480" s="2" t="s">
        <v>516</v>
      </c>
      <c r="C480" s="4">
        <v>63.8</v>
      </c>
    </row>
    <row r="481" spans="1:3" x14ac:dyDescent="0.35">
      <c r="A481" s="2" t="s">
        <v>644</v>
      </c>
      <c r="B481" s="2" t="s">
        <v>516</v>
      </c>
      <c r="C481" s="4">
        <v>77</v>
      </c>
    </row>
    <row r="482" spans="1:3" x14ac:dyDescent="0.35">
      <c r="A482" s="2" t="s">
        <v>675</v>
      </c>
      <c r="B482" s="2" t="s">
        <v>516</v>
      </c>
      <c r="C482" s="4">
        <v>92.4</v>
      </c>
    </row>
    <row r="483" spans="1:3" x14ac:dyDescent="0.35">
      <c r="A483" s="2" t="s">
        <v>707</v>
      </c>
      <c r="B483" s="2" t="s">
        <v>516</v>
      </c>
      <c r="C483" s="4">
        <v>129.80000000000001</v>
      </c>
    </row>
    <row r="484" spans="1:3" x14ac:dyDescent="0.35">
      <c r="A484" s="2" t="s">
        <v>741</v>
      </c>
      <c r="B484" s="2" t="s">
        <v>516</v>
      </c>
      <c r="C484" s="4">
        <v>143</v>
      </c>
    </row>
    <row r="485" spans="1:3" x14ac:dyDescent="0.35">
      <c r="A485" s="2" t="s">
        <v>777</v>
      </c>
      <c r="B485" s="2" t="s">
        <v>516</v>
      </c>
      <c r="C485" s="4">
        <v>158.4</v>
      </c>
    </row>
    <row r="486" spans="1:3" x14ac:dyDescent="0.35">
      <c r="A486" s="2" t="s">
        <v>513</v>
      </c>
      <c r="B486" s="2" t="s">
        <v>514</v>
      </c>
      <c r="C486" s="4">
        <v>20.9</v>
      </c>
    </row>
    <row r="487" spans="1:3" x14ac:dyDescent="0.35">
      <c r="A487" s="2" t="s">
        <v>552</v>
      </c>
      <c r="B487" s="2" t="s">
        <v>514</v>
      </c>
      <c r="C487" s="4">
        <v>24.2</v>
      </c>
    </row>
    <row r="488" spans="1:3" x14ac:dyDescent="0.35">
      <c r="A488" s="2" t="s">
        <v>581</v>
      </c>
      <c r="B488" s="2" t="s">
        <v>514</v>
      </c>
      <c r="C488" s="4">
        <v>29.7</v>
      </c>
    </row>
    <row r="489" spans="1:3" x14ac:dyDescent="0.35">
      <c r="A489" s="2" t="s">
        <v>612</v>
      </c>
      <c r="B489" s="2" t="s">
        <v>514</v>
      </c>
      <c r="C489" s="4">
        <v>35.200000000000003</v>
      </c>
    </row>
    <row r="490" spans="1:3" x14ac:dyDescent="0.35">
      <c r="A490" s="2" t="s">
        <v>643</v>
      </c>
      <c r="B490" s="2" t="s">
        <v>514</v>
      </c>
      <c r="C490" s="4">
        <v>41.8</v>
      </c>
    </row>
    <row r="491" spans="1:3" x14ac:dyDescent="0.35">
      <c r="A491" s="2" t="s">
        <v>674</v>
      </c>
      <c r="B491" s="2" t="s">
        <v>514</v>
      </c>
      <c r="C491" s="4">
        <v>50.6</v>
      </c>
    </row>
    <row r="492" spans="1:3" x14ac:dyDescent="0.35">
      <c r="A492" s="2" t="s">
        <v>706</v>
      </c>
      <c r="B492" s="2" t="s">
        <v>514</v>
      </c>
      <c r="C492" s="4">
        <v>60.5</v>
      </c>
    </row>
    <row r="493" spans="1:3" x14ac:dyDescent="0.35">
      <c r="A493" s="2" t="s">
        <v>740</v>
      </c>
      <c r="B493" s="2" t="s">
        <v>514</v>
      </c>
      <c r="C493" s="4">
        <v>72.599999999999994</v>
      </c>
    </row>
    <row r="494" spans="1:3" x14ac:dyDescent="0.35">
      <c r="A494" s="2" t="s">
        <v>776</v>
      </c>
      <c r="B494" s="2" t="s">
        <v>514</v>
      </c>
      <c r="C494" s="4">
        <v>86.9</v>
      </c>
    </row>
    <row r="495" spans="1:3" x14ac:dyDescent="0.35">
      <c r="A495" s="2" t="s">
        <v>511</v>
      </c>
      <c r="B495" s="2" t="s">
        <v>512</v>
      </c>
      <c r="C495" s="4">
        <v>26.130000000000003</v>
      </c>
    </row>
    <row r="496" spans="1:3" x14ac:dyDescent="0.35">
      <c r="A496" s="2" t="s">
        <v>551</v>
      </c>
      <c r="B496" s="2" t="s">
        <v>512</v>
      </c>
      <c r="C496" s="4">
        <v>30.25</v>
      </c>
    </row>
    <row r="497" spans="1:3" x14ac:dyDescent="0.35">
      <c r="A497" s="2" t="s">
        <v>580</v>
      </c>
      <c r="B497" s="2" t="s">
        <v>512</v>
      </c>
      <c r="C497" s="4">
        <v>37.129999999999995</v>
      </c>
    </row>
    <row r="498" spans="1:3" x14ac:dyDescent="0.35">
      <c r="A498" s="2" t="s">
        <v>611</v>
      </c>
      <c r="B498" s="2" t="s">
        <v>512</v>
      </c>
      <c r="C498" s="4">
        <v>44</v>
      </c>
    </row>
    <row r="499" spans="1:3" x14ac:dyDescent="0.35">
      <c r="A499" s="2" t="s">
        <v>642</v>
      </c>
      <c r="B499" s="2" t="s">
        <v>512</v>
      </c>
      <c r="C499" s="4">
        <v>52.25</v>
      </c>
    </row>
    <row r="500" spans="1:3" x14ac:dyDescent="0.35">
      <c r="A500" s="2" t="s">
        <v>673</v>
      </c>
      <c r="B500" s="2" t="s">
        <v>512</v>
      </c>
      <c r="C500" s="4">
        <v>63.25</v>
      </c>
    </row>
    <row r="501" spans="1:3" x14ac:dyDescent="0.35">
      <c r="A501" s="2" t="s">
        <v>705</v>
      </c>
      <c r="B501" s="2" t="s">
        <v>512</v>
      </c>
      <c r="C501" s="4">
        <v>75.63000000000001</v>
      </c>
    </row>
    <row r="502" spans="1:3" x14ac:dyDescent="0.35">
      <c r="A502" s="2" t="s">
        <v>739</v>
      </c>
      <c r="B502" s="2" t="s">
        <v>512</v>
      </c>
      <c r="C502" s="4">
        <v>90.75</v>
      </c>
    </row>
    <row r="503" spans="1:3" x14ac:dyDescent="0.35">
      <c r="A503" s="2" t="s">
        <v>775</v>
      </c>
      <c r="B503" s="2" t="s">
        <v>512</v>
      </c>
      <c r="C503" s="4">
        <v>108.63000000000001</v>
      </c>
    </row>
    <row r="504" spans="1:3" x14ac:dyDescent="0.35">
      <c r="A504" s="2" t="s">
        <v>536</v>
      </c>
      <c r="B504" s="2" t="s">
        <v>537</v>
      </c>
      <c r="C504" s="4">
        <v>4.4000000000000004</v>
      </c>
    </row>
    <row r="505" spans="1:3" x14ac:dyDescent="0.35">
      <c r="A505" s="2" t="s">
        <v>568</v>
      </c>
      <c r="B505" s="2" t="s">
        <v>537</v>
      </c>
      <c r="C505" s="4">
        <v>6.6</v>
      </c>
    </row>
    <row r="506" spans="1:3" x14ac:dyDescent="0.35">
      <c r="A506" s="2" t="s">
        <v>598</v>
      </c>
      <c r="B506" s="2" t="s">
        <v>537</v>
      </c>
      <c r="C506" s="4">
        <v>8.8000000000000007</v>
      </c>
    </row>
    <row r="507" spans="1:3" x14ac:dyDescent="0.35">
      <c r="A507" s="2" t="s">
        <v>629</v>
      </c>
      <c r="B507" s="2" t="s">
        <v>537</v>
      </c>
      <c r="C507" s="4">
        <v>11</v>
      </c>
    </row>
    <row r="508" spans="1:3" x14ac:dyDescent="0.35">
      <c r="A508" s="2" t="s">
        <v>660</v>
      </c>
      <c r="B508" s="2" t="s">
        <v>537</v>
      </c>
      <c r="C508" s="4">
        <v>13.2</v>
      </c>
    </row>
    <row r="509" spans="1:3" x14ac:dyDescent="0.35">
      <c r="A509" s="2" t="s">
        <v>691</v>
      </c>
      <c r="B509" s="2" t="s">
        <v>537</v>
      </c>
      <c r="C509" s="4">
        <v>15.4</v>
      </c>
    </row>
    <row r="510" spans="1:3" x14ac:dyDescent="0.35">
      <c r="A510" s="2" t="s">
        <v>723</v>
      </c>
      <c r="B510" s="2" t="s">
        <v>537</v>
      </c>
      <c r="C510" s="4">
        <v>17.600000000000001</v>
      </c>
    </row>
    <row r="511" spans="1:3" x14ac:dyDescent="0.35">
      <c r="A511" s="2" t="s">
        <v>758</v>
      </c>
      <c r="B511" s="2" t="s">
        <v>537</v>
      </c>
      <c r="C511" s="4">
        <v>6.6</v>
      </c>
    </row>
    <row r="512" spans="1:3" x14ac:dyDescent="0.35">
      <c r="A512" s="2" t="s">
        <v>794</v>
      </c>
      <c r="B512" s="2" t="s">
        <v>537</v>
      </c>
      <c r="C512" s="4">
        <v>19.8</v>
      </c>
    </row>
    <row r="513" spans="1:3" x14ac:dyDescent="0.35">
      <c r="A513" s="2" t="s">
        <v>534</v>
      </c>
      <c r="B513" s="2" t="s">
        <v>535</v>
      </c>
      <c r="C513" s="4">
        <v>4.4000000000000004</v>
      </c>
    </row>
    <row r="514" spans="1:3" x14ac:dyDescent="0.35">
      <c r="A514" s="2" t="s">
        <v>567</v>
      </c>
      <c r="B514" s="2" t="s">
        <v>535</v>
      </c>
      <c r="C514" s="4">
        <v>6.6</v>
      </c>
    </row>
    <row r="515" spans="1:3" x14ac:dyDescent="0.35">
      <c r="A515" s="2" t="s">
        <v>597</v>
      </c>
      <c r="B515" s="2" t="s">
        <v>535</v>
      </c>
      <c r="C515" s="4">
        <v>8.8000000000000007</v>
      </c>
    </row>
    <row r="516" spans="1:3" x14ac:dyDescent="0.35">
      <c r="A516" s="2" t="s">
        <v>628</v>
      </c>
      <c r="B516" s="2" t="s">
        <v>535</v>
      </c>
      <c r="C516" s="4">
        <v>11</v>
      </c>
    </row>
    <row r="517" spans="1:3" x14ac:dyDescent="0.35">
      <c r="A517" s="2" t="s">
        <v>659</v>
      </c>
      <c r="B517" s="2" t="s">
        <v>535</v>
      </c>
      <c r="C517" s="4">
        <v>13.2</v>
      </c>
    </row>
    <row r="518" spans="1:3" x14ac:dyDescent="0.35">
      <c r="A518" s="2" t="s">
        <v>690</v>
      </c>
      <c r="B518" s="2" t="s">
        <v>535</v>
      </c>
      <c r="C518" s="4">
        <v>15.4</v>
      </c>
    </row>
    <row r="519" spans="1:3" x14ac:dyDescent="0.35">
      <c r="A519" s="2" t="s">
        <v>722</v>
      </c>
      <c r="B519" s="2" t="s">
        <v>535</v>
      </c>
      <c r="C519" s="4">
        <v>17.600000000000001</v>
      </c>
    </row>
    <row r="520" spans="1:3" x14ac:dyDescent="0.35">
      <c r="A520" s="2" t="s">
        <v>757</v>
      </c>
      <c r="B520" s="2" t="s">
        <v>535</v>
      </c>
      <c r="C520" s="4">
        <v>6.6</v>
      </c>
    </row>
    <row r="521" spans="1:3" x14ac:dyDescent="0.35">
      <c r="A521" s="2" t="s">
        <v>793</v>
      </c>
      <c r="B521" s="2" t="s">
        <v>535</v>
      </c>
      <c r="C521" s="4">
        <v>19.8</v>
      </c>
    </row>
    <row r="522" spans="1:3" x14ac:dyDescent="0.35">
      <c r="A522" s="2" t="s">
        <v>424</v>
      </c>
      <c r="B522" s="2" t="s">
        <v>425</v>
      </c>
      <c r="C522" s="4">
        <v>16.5</v>
      </c>
    </row>
    <row r="523" spans="1:3" x14ac:dyDescent="0.35">
      <c r="A523" s="2" t="s">
        <v>427</v>
      </c>
      <c r="B523" s="2" t="s">
        <v>425</v>
      </c>
      <c r="C523" s="4">
        <v>24.2</v>
      </c>
    </row>
    <row r="524" spans="1:3" x14ac:dyDescent="0.35">
      <c r="A524" s="2" t="s">
        <v>429</v>
      </c>
      <c r="B524" s="2" t="s">
        <v>425</v>
      </c>
      <c r="C524" s="4">
        <v>29.7</v>
      </c>
    </row>
    <row r="525" spans="1:3" x14ac:dyDescent="0.35">
      <c r="A525" s="2" t="s">
        <v>431</v>
      </c>
      <c r="B525" s="2" t="s">
        <v>425</v>
      </c>
      <c r="C525" s="4">
        <v>37.4</v>
      </c>
    </row>
    <row r="526" spans="1:3" x14ac:dyDescent="0.35">
      <c r="A526" s="2" t="s">
        <v>433</v>
      </c>
      <c r="B526" s="2" t="s">
        <v>425</v>
      </c>
      <c r="C526" s="4">
        <v>44</v>
      </c>
    </row>
    <row r="527" spans="1:3" x14ac:dyDescent="0.35">
      <c r="A527" s="2" t="s">
        <v>435</v>
      </c>
      <c r="B527" s="2" t="s">
        <v>425</v>
      </c>
      <c r="C527" s="4">
        <v>46.2</v>
      </c>
    </row>
    <row r="528" spans="1:3" x14ac:dyDescent="0.35">
      <c r="A528" s="2" t="s">
        <v>422</v>
      </c>
      <c r="B528" s="2" t="s">
        <v>423</v>
      </c>
      <c r="C528" s="4">
        <v>17.600000000000001</v>
      </c>
    </row>
    <row r="529" spans="1:3" x14ac:dyDescent="0.35">
      <c r="A529" s="2" t="s">
        <v>426</v>
      </c>
      <c r="B529" s="2" t="s">
        <v>423</v>
      </c>
      <c r="C529" s="4">
        <v>22</v>
      </c>
    </row>
    <row r="530" spans="1:3" x14ac:dyDescent="0.35">
      <c r="A530" s="2" t="s">
        <v>428</v>
      </c>
      <c r="B530" s="2" t="s">
        <v>423</v>
      </c>
      <c r="C530" s="4">
        <v>25.3</v>
      </c>
    </row>
    <row r="531" spans="1:3" x14ac:dyDescent="0.35">
      <c r="A531" s="2" t="s">
        <v>430</v>
      </c>
      <c r="B531" s="2" t="s">
        <v>423</v>
      </c>
      <c r="C531" s="4">
        <v>36.299999999999997</v>
      </c>
    </row>
    <row r="532" spans="1:3" x14ac:dyDescent="0.35">
      <c r="A532" s="2" t="s">
        <v>432</v>
      </c>
      <c r="B532" s="2" t="s">
        <v>423</v>
      </c>
      <c r="C532" s="4">
        <v>37.4</v>
      </c>
    </row>
    <row r="533" spans="1:3" x14ac:dyDescent="0.35">
      <c r="A533" s="2" t="s">
        <v>434</v>
      </c>
      <c r="B533" s="2" t="s">
        <v>423</v>
      </c>
      <c r="C533" s="4">
        <v>60.5</v>
      </c>
    </row>
    <row r="534" spans="1:3" x14ac:dyDescent="0.35">
      <c r="A534" s="2" t="s">
        <v>436</v>
      </c>
      <c r="B534" s="2" t="s">
        <v>423</v>
      </c>
      <c r="C534" s="4">
        <v>66</v>
      </c>
    </row>
    <row r="535" spans="1:3" x14ac:dyDescent="0.35">
      <c r="A535" s="2" t="s">
        <v>437</v>
      </c>
      <c r="B535" s="2" t="s">
        <v>423</v>
      </c>
      <c r="C535" s="4">
        <v>71.5</v>
      </c>
    </row>
    <row r="536" spans="1:3" x14ac:dyDescent="0.35">
      <c r="A536" s="2" t="s">
        <v>438</v>
      </c>
      <c r="B536" s="2" t="s">
        <v>423</v>
      </c>
      <c r="C536" s="4">
        <v>325.60000000000002</v>
      </c>
    </row>
    <row r="537" spans="1:3" x14ac:dyDescent="0.35">
      <c r="A537" s="2" t="s">
        <v>439</v>
      </c>
      <c r="B537" s="2" t="s">
        <v>423</v>
      </c>
      <c r="C537" s="4">
        <v>348.7</v>
      </c>
    </row>
    <row r="538" spans="1:3" x14ac:dyDescent="0.35">
      <c r="A538" s="2" t="s">
        <v>440</v>
      </c>
      <c r="B538" s="2" t="s">
        <v>423</v>
      </c>
      <c r="C538" s="4">
        <v>382.8</v>
      </c>
    </row>
    <row r="539" spans="1:3" x14ac:dyDescent="0.35">
      <c r="A539" s="2" t="s">
        <v>441</v>
      </c>
      <c r="B539" s="2" t="s">
        <v>423</v>
      </c>
      <c r="C539" s="4">
        <v>427.9</v>
      </c>
    </row>
    <row r="540" spans="1:3" x14ac:dyDescent="0.35">
      <c r="A540" s="3" t="s">
        <v>398</v>
      </c>
      <c r="B540" s="3" t="s">
        <v>399</v>
      </c>
      <c r="C540" s="5">
        <v>20.9</v>
      </c>
    </row>
    <row r="541" spans="1:3" x14ac:dyDescent="0.35">
      <c r="A541" s="3" t="s">
        <v>392</v>
      </c>
      <c r="B541" s="3" t="s">
        <v>393</v>
      </c>
      <c r="C541" s="5">
        <v>8</v>
      </c>
    </row>
    <row r="542" spans="1:3" x14ac:dyDescent="0.35">
      <c r="A542" s="3" t="s">
        <v>420</v>
      </c>
      <c r="B542" s="3" t="s">
        <v>421</v>
      </c>
      <c r="C542" s="5">
        <v>553.29999999999995</v>
      </c>
    </row>
    <row r="543" spans="1:3" x14ac:dyDescent="0.35">
      <c r="A543" s="3" t="s">
        <v>396</v>
      </c>
      <c r="B543" s="3" t="s">
        <v>397</v>
      </c>
      <c r="C543" s="5">
        <v>12</v>
      </c>
    </row>
    <row r="544" spans="1:3" x14ac:dyDescent="0.35">
      <c r="A544" s="3" t="s">
        <v>416</v>
      </c>
      <c r="B544" s="3" t="s">
        <v>417</v>
      </c>
      <c r="C544" s="5">
        <v>367.4</v>
      </c>
    </row>
    <row r="545" spans="1:3" x14ac:dyDescent="0.35">
      <c r="A545" s="3" t="s">
        <v>418</v>
      </c>
      <c r="B545" s="3" t="s">
        <v>419</v>
      </c>
      <c r="C545" s="5">
        <v>363</v>
      </c>
    </row>
    <row r="546" spans="1:3" x14ac:dyDescent="0.35">
      <c r="A546" s="3" t="s">
        <v>414</v>
      </c>
      <c r="B546" s="3" t="s">
        <v>415</v>
      </c>
      <c r="C546" s="5">
        <v>371.8</v>
      </c>
    </row>
    <row r="547" spans="1:3" x14ac:dyDescent="0.35">
      <c r="A547" s="3" t="s">
        <v>410</v>
      </c>
      <c r="B547" s="3" t="s">
        <v>411</v>
      </c>
      <c r="C547" s="5">
        <v>144.1</v>
      </c>
    </row>
    <row r="548" spans="1:3" x14ac:dyDescent="0.35">
      <c r="A548" s="3" t="s">
        <v>412</v>
      </c>
      <c r="B548" s="3" t="s">
        <v>413</v>
      </c>
      <c r="C548" s="5">
        <v>246.4</v>
      </c>
    </row>
    <row r="549" spans="1:3" x14ac:dyDescent="0.35">
      <c r="A549" s="3" t="s">
        <v>400</v>
      </c>
      <c r="B549" s="3" t="s">
        <v>401</v>
      </c>
      <c r="C549" s="5">
        <v>25</v>
      </c>
    </row>
    <row r="550" spans="1:3" x14ac:dyDescent="0.35">
      <c r="A550" s="3" t="s">
        <v>394</v>
      </c>
      <c r="B550" s="3" t="s">
        <v>395</v>
      </c>
      <c r="C550" s="5">
        <v>8</v>
      </c>
    </row>
    <row r="551" spans="1:3" x14ac:dyDescent="0.35">
      <c r="A551" s="3" t="s">
        <v>408</v>
      </c>
      <c r="B551" s="3" t="s">
        <v>409</v>
      </c>
      <c r="C551" s="5">
        <v>93.5</v>
      </c>
    </row>
    <row r="552" spans="1:3" x14ac:dyDescent="0.35">
      <c r="A552" s="3" t="s">
        <v>406</v>
      </c>
      <c r="B552" s="3" t="s">
        <v>407</v>
      </c>
      <c r="C552" s="5">
        <v>90</v>
      </c>
    </row>
    <row r="553" spans="1:3" x14ac:dyDescent="0.35">
      <c r="A553" s="3" t="s">
        <v>402</v>
      </c>
      <c r="B553" s="3" t="s">
        <v>403</v>
      </c>
      <c r="C553" s="5">
        <v>55</v>
      </c>
    </row>
    <row r="554" spans="1:3" x14ac:dyDescent="0.35">
      <c r="A554" s="3" t="s">
        <v>404</v>
      </c>
      <c r="B554" s="3" t="s">
        <v>405</v>
      </c>
      <c r="C554" s="5">
        <v>72</v>
      </c>
    </row>
    <row r="555" spans="1:3" x14ac:dyDescent="0.35">
      <c r="A555" s="3" t="s">
        <v>381</v>
      </c>
      <c r="B555" s="3" t="s">
        <v>382</v>
      </c>
      <c r="C555" s="5">
        <v>11</v>
      </c>
    </row>
    <row r="556" spans="1:3" x14ac:dyDescent="0.35">
      <c r="A556" s="3" t="s">
        <v>383</v>
      </c>
      <c r="B556" s="3" t="s">
        <v>382</v>
      </c>
      <c r="C556" s="5">
        <v>20.9</v>
      </c>
    </row>
    <row r="557" spans="1:3" x14ac:dyDescent="0.35">
      <c r="A557" s="3" t="s">
        <v>384</v>
      </c>
      <c r="B557" s="3" t="s">
        <v>382</v>
      </c>
      <c r="C557" s="5">
        <v>33</v>
      </c>
    </row>
    <row r="558" spans="1:3" x14ac:dyDescent="0.35">
      <c r="A558" s="3" t="s">
        <v>385</v>
      </c>
      <c r="B558" s="3" t="s">
        <v>382</v>
      </c>
      <c r="C558" s="5">
        <v>53.9</v>
      </c>
    </row>
    <row r="559" spans="1:3" x14ac:dyDescent="0.35">
      <c r="A559" s="3" t="s">
        <v>386</v>
      </c>
      <c r="B559" s="3" t="s">
        <v>382</v>
      </c>
      <c r="C559" s="5">
        <v>132</v>
      </c>
    </row>
    <row r="560" spans="1:3" x14ac:dyDescent="0.35">
      <c r="A560" s="3" t="s">
        <v>387</v>
      </c>
      <c r="B560" s="3" t="s">
        <v>382</v>
      </c>
      <c r="C560" s="5">
        <v>83.6</v>
      </c>
    </row>
    <row r="561" spans="1:3" x14ac:dyDescent="0.35">
      <c r="A561" s="3" t="s">
        <v>388</v>
      </c>
      <c r="B561" s="3" t="s">
        <v>382</v>
      </c>
      <c r="C561" s="5">
        <v>250.8</v>
      </c>
    </row>
    <row r="562" spans="1:3" x14ac:dyDescent="0.35">
      <c r="A562" s="3" t="s">
        <v>389</v>
      </c>
      <c r="B562" s="3" t="s">
        <v>382</v>
      </c>
      <c r="C562" s="5">
        <v>376.2</v>
      </c>
    </row>
    <row r="563" spans="1:3" x14ac:dyDescent="0.35">
      <c r="A563" s="2" t="s">
        <v>379</v>
      </c>
      <c r="B563" s="2" t="s">
        <v>380</v>
      </c>
      <c r="C563" s="4">
        <v>2.2000000000000002</v>
      </c>
    </row>
    <row r="564" spans="1:3" x14ac:dyDescent="0.35">
      <c r="A564" s="2" t="s">
        <v>377</v>
      </c>
      <c r="B564" s="2" t="s">
        <v>378</v>
      </c>
      <c r="C564" s="4">
        <v>2.2000000000000002</v>
      </c>
    </row>
    <row r="565" spans="1:3" x14ac:dyDescent="0.35">
      <c r="A565" s="2" t="s">
        <v>375</v>
      </c>
      <c r="B565" s="2" t="s">
        <v>376</v>
      </c>
      <c r="C565" s="4">
        <v>3.3</v>
      </c>
    </row>
    <row r="566" spans="1:3" x14ac:dyDescent="0.35">
      <c r="A566" s="3" t="s">
        <v>351</v>
      </c>
      <c r="B566" s="3" t="s">
        <v>352</v>
      </c>
      <c r="C566" s="5">
        <v>34.1</v>
      </c>
    </row>
    <row r="567" spans="1:3" x14ac:dyDescent="0.35">
      <c r="A567" s="3" t="s">
        <v>363</v>
      </c>
      <c r="B567" s="3" t="s">
        <v>364</v>
      </c>
      <c r="C567" s="5">
        <v>3414.4</v>
      </c>
    </row>
    <row r="568" spans="1:3" x14ac:dyDescent="0.35">
      <c r="A568" s="3" t="s">
        <v>361</v>
      </c>
      <c r="B568" s="3" t="s">
        <v>362</v>
      </c>
      <c r="C568" s="5">
        <v>2438.6999999999998</v>
      </c>
    </row>
    <row r="569" spans="1:3" x14ac:dyDescent="0.35">
      <c r="A569" s="3" t="s">
        <v>359</v>
      </c>
      <c r="B569" s="3" t="s">
        <v>360</v>
      </c>
      <c r="C569" s="5">
        <v>250.8</v>
      </c>
    </row>
    <row r="570" spans="1:3" x14ac:dyDescent="0.35">
      <c r="A570" s="3" t="s">
        <v>349</v>
      </c>
      <c r="B570" s="3" t="s">
        <v>350</v>
      </c>
      <c r="C570" s="5">
        <v>23.1</v>
      </c>
    </row>
    <row r="571" spans="1:3" x14ac:dyDescent="0.35">
      <c r="A571" s="3" t="s">
        <v>355</v>
      </c>
      <c r="B571" s="3" t="s">
        <v>356</v>
      </c>
      <c r="C571" s="5">
        <v>83.6</v>
      </c>
    </row>
    <row r="572" spans="1:3" x14ac:dyDescent="0.35">
      <c r="A572" s="3" t="s">
        <v>357</v>
      </c>
      <c r="B572" s="3" t="s">
        <v>358</v>
      </c>
      <c r="C572" s="5">
        <v>172.7</v>
      </c>
    </row>
    <row r="573" spans="1:3" x14ac:dyDescent="0.35">
      <c r="A573" s="3" t="s">
        <v>353</v>
      </c>
      <c r="B573" s="3" t="s">
        <v>354</v>
      </c>
      <c r="C573" s="5">
        <v>57.2</v>
      </c>
    </row>
    <row r="574" spans="1:3" x14ac:dyDescent="0.35">
      <c r="A574" s="2" t="s">
        <v>57</v>
      </c>
      <c r="B574" s="2" t="s">
        <v>58</v>
      </c>
      <c r="C574" s="4">
        <v>1.06</v>
      </c>
    </row>
    <row r="575" spans="1:3" x14ac:dyDescent="0.35">
      <c r="A575" s="2" t="s">
        <v>96</v>
      </c>
      <c r="B575" s="2" t="s">
        <v>58</v>
      </c>
      <c r="C575" s="4">
        <v>1.29</v>
      </c>
    </row>
    <row r="576" spans="1:3" x14ac:dyDescent="0.35">
      <c r="A576" s="2" t="s">
        <v>123</v>
      </c>
      <c r="B576" s="2" t="s">
        <v>58</v>
      </c>
      <c r="C576" s="4">
        <v>1.47</v>
      </c>
    </row>
    <row r="577" spans="1:3" x14ac:dyDescent="0.35">
      <c r="A577" s="2" t="s">
        <v>152</v>
      </c>
      <c r="B577" s="2" t="s">
        <v>58</v>
      </c>
      <c r="C577" s="4">
        <v>1.64</v>
      </c>
    </row>
    <row r="578" spans="1:3" x14ac:dyDescent="0.35">
      <c r="A578" s="2" t="s">
        <v>181</v>
      </c>
      <c r="B578" s="2" t="s">
        <v>58</v>
      </c>
      <c r="C578" s="4">
        <v>2.0799999999999996</v>
      </c>
    </row>
    <row r="579" spans="1:3" x14ac:dyDescent="0.35">
      <c r="A579" s="2" t="s">
        <v>209</v>
      </c>
      <c r="B579" s="2" t="s">
        <v>58</v>
      </c>
      <c r="C579" s="4">
        <v>2.5599999999999996</v>
      </c>
    </row>
    <row r="580" spans="1:3" x14ac:dyDescent="0.35">
      <c r="A580" s="2" t="s">
        <v>237</v>
      </c>
      <c r="B580" s="2" t="s">
        <v>58</v>
      </c>
      <c r="C580" s="4">
        <v>4.29</v>
      </c>
    </row>
    <row r="581" spans="1:3" x14ac:dyDescent="0.35">
      <c r="A581" s="2" t="s">
        <v>265</v>
      </c>
      <c r="B581" s="2" t="s">
        <v>58</v>
      </c>
      <c r="C581" s="4">
        <v>4.66</v>
      </c>
    </row>
    <row r="582" spans="1:3" x14ac:dyDescent="0.35">
      <c r="A582" s="2" t="s">
        <v>287</v>
      </c>
      <c r="B582" s="2" t="s">
        <v>58</v>
      </c>
      <c r="C582" s="4">
        <v>5.68</v>
      </c>
    </row>
    <row r="583" spans="1:3" x14ac:dyDescent="0.35">
      <c r="A583" s="2" t="s">
        <v>500</v>
      </c>
      <c r="B583" s="2" t="s">
        <v>58</v>
      </c>
      <c r="C583" s="4">
        <v>1.1499999999999999</v>
      </c>
    </row>
    <row r="584" spans="1:3" x14ac:dyDescent="0.35">
      <c r="A584" s="2" t="s">
        <v>544</v>
      </c>
      <c r="B584" s="2" t="s">
        <v>58</v>
      </c>
      <c r="C584" s="4">
        <v>1.08</v>
      </c>
    </row>
    <row r="585" spans="1:3" x14ac:dyDescent="0.35">
      <c r="A585" s="2" t="s">
        <v>573</v>
      </c>
      <c r="B585" s="2" t="s">
        <v>58</v>
      </c>
      <c r="C585" s="4">
        <v>1.72</v>
      </c>
    </row>
    <row r="586" spans="1:3" x14ac:dyDescent="0.35">
      <c r="A586" s="2" t="s">
        <v>604</v>
      </c>
      <c r="B586" s="2" t="s">
        <v>58</v>
      </c>
      <c r="C586" s="4">
        <v>2.7199999999999998</v>
      </c>
    </row>
    <row r="587" spans="1:3" x14ac:dyDescent="0.35">
      <c r="A587" s="2" t="s">
        <v>635</v>
      </c>
      <c r="B587" s="2" t="s">
        <v>58</v>
      </c>
      <c r="C587" s="4">
        <v>3.26</v>
      </c>
    </row>
    <row r="588" spans="1:3" x14ac:dyDescent="0.35">
      <c r="A588" s="2" t="s">
        <v>666</v>
      </c>
      <c r="B588" s="2" t="s">
        <v>58</v>
      </c>
      <c r="C588" s="4">
        <v>7.7299999999999995</v>
      </c>
    </row>
    <row r="589" spans="1:3" x14ac:dyDescent="0.35">
      <c r="A589" s="2" t="s">
        <v>698</v>
      </c>
      <c r="B589" s="2" t="s">
        <v>58</v>
      </c>
      <c r="C589" s="4">
        <v>8.68</v>
      </c>
    </row>
    <row r="590" spans="1:3" x14ac:dyDescent="0.35">
      <c r="A590" s="2" t="s">
        <v>730</v>
      </c>
      <c r="B590" s="2" t="s">
        <v>58</v>
      </c>
      <c r="C590" s="4">
        <v>10.11</v>
      </c>
    </row>
    <row r="591" spans="1:3" x14ac:dyDescent="0.35">
      <c r="A591" s="2" t="s">
        <v>766</v>
      </c>
      <c r="B591" s="2" t="s">
        <v>58</v>
      </c>
      <c r="C591" s="4">
        <v>15.129999999999999</v>
      </c>
    </row>
    <row r="592" spans="1:3" x14ac:dyDescent="0.35">
      <c r="A592" s="3" t="s">
        <v>325</v>
      </c>
      <c r="B592" s="3" t="s">
        <v>326</v>
      </c>
      <c r="C592" s="5">
        <v>34.1</v>
      </c>
    </row>
    <row r="593" spans="1:4" x14ac:dyDescent="0.35">
      <c r="A593" s="3" t="s">
        <v>319</v>
      </c>
      <c r="B593" s="3" t="s">
        <v>320</v>
      </c>
      <c r="C593" s="5">
        <v>25.3</v>
      </c>
      <c r="D593" s="6">
        <v>80</v>
      </c>
    </row>
    <row r="594" spans="1:4" x14ac:dyDescent="0.35">
      <c r="A594" s="3" t="s">
        <v>323</v>
      </c>
      <c r="B594" s="3" t="s">
        <v>324</v>
      </c>
      <c r="C594" s="5">
        <v>34.1</v>
      </c>
      <c r="D594">
        <v>108</v>
      </c>
    </row>
    <row r="595" spans="1:4" x14ac:dyDescent="0.35">
      <c r="A595" s="3" t="s">
        <v>327</v>
      </c>
      <c r="B595" s="3" t="s">
        <v>328</v>
      </c>
      <c r="C595" s="5">
        <v>68.2</v>
      </c>
    </row>
    <row r="596" spans="1:4" x14ac:dyDescent="0.35">
      <c r="A596" s="3" t="s">
        <v>321</v>
      </c>
      <c r="B596" s="3" t="s">
        <v>322</v>
      </c>
      <c r="C596" s="5">
        <v>25.3</v>
      </c>
    </row>
    <row r="597" spans="1:4" x14ac:dyDescent="0.35">
      <c r="A597" s="3" t="s">
        <v>335</v>
      </c>
      <c r="B597" s="3" t="s">
        <v>336</v>
      </c>
      <c r="C597" s="5">
        <v>269.5</v>
      </c>
    </row>
    <row r="598" spans="1:4" x14ac:dyDescent="0.35">
      <c r="A598" s="3" t="s">
        <v>333</v>
      </c>
      <c r="B598" s="3" t="s">
        <v>334</v>
      </c>
      <c r="C598" s="5">
        <v>149.6</v>
      </c>
    </row>
    <row r="599" spans="1:4" x14ac:dyDescent="0.35">
      <c r="A599" s="3" t="s">
        <v>329</v>
      </c>
      <c r="B599" s="3" t="s">
        <v>330</v>
      </c>
      <c r="C599" s="5">
        <v>68.2</v>
      </c>
    </row>
    <row r="600" spans="1:4" x14ac:dyDescent="0.35">
      <c r="A600" s="3" t="s">
        <v>331</v>
      </c>
      <c r="B600" s="3" t="s">
        <v>332</v>
      </c>
      <c r="C600" s="5">
        <v>149.6</v>
      </c>
    </row>
    <row r="601" spans="1:4" x14ac:dyDescent="0.35">
      <c r="A601" s="2" t="s">
        <v>92</v>
      </c>
      <c r="B601" s="2" t="s">
        <v>93</v>
      </c>
      <c r="C601" s="4">
        <v>9.9</v>
      </c>
    </row>
    <row r="602" spans="1:4" x14ac:dyDescent="0.35">
      <c r="A602" s="2" t="s">
        <v>119</v>
      </c>
      <c r="B602" s="2" t="s">
        <v>93</v>
      </c>
      <c r="C602" s="4">
        <v>11</v>
      </c>
    </row>
    <row r="603" spans="1:4" x14ac:dyDescent="0.35">
      <c r="A603" s="2" t="s">
        <v>147</v>
      </c>
      <c r="B603" s="2" t="s">
        <v>93</v>
      </c>
      <c r="C603" s="4">
        <v>14.3</v>
      </c>
    </row>
    <row r="604" spans="1:4" x14ac:dyDescent="0.35">
      <c r="A604" s="2" t="s">
        <v>176</v>
      </c>
      <c r="B604" s="2" t="s">
        <v>93</v>
      </c>
      <c r="C604" s="4">
        <v>16.5</v>
      </c>
    </row>
    <row r="605" spans="1:4" x14ac:dyDescent="0.35">
      <c r="A605" s="2" t="s">
        <v>204</v>
      </c>
      <c r="B605" s="2" t="s">
        <v>93</v>
      </c>
      <c r="C605" s="4">
        <v>17.600000000000001</v>
      </c>
    </row>
    <row r="606" spans="1:4" x14ac:dyDescent="0.35">
      <c r="A606" s="2" t="s">
        <v>232</v>
      </c>
      <c r="B606" s="2" t="s">
        <v>93</v>
      </c>
      <c r="C606" s="4">
        <v>31.9</v>
      </c>
    </row>
    <row r="607" spans="1:4" x14ac:dyDescent="0.35">
      <c r="A607" s="2" t="s">
        <v>260</v>
      </c>
      <c r="B607" s="2" t="s">
        <v>93</v>
      </c>
      <c r="C607" s="4">
        <v>40.700000000000003</v>
      </c>
    </row>
    <row r="608" spans="1:4" x14ac:dyDescent="0.35">
      <c r="A608" s="2" t="s">
        <v>282</v>
      </c>
      <c r="B608" s="2" t="s">
        <v>93</v>
      </c>
      <c r="C608" s="4">
        <v>55</v>
      </c>
    </row>
    <row r="609" spans="1:3" x14ac:dyDescent="0.35">
      <c r="A609" s="2" t="s">
        <v>312</v>
      </c>
      <c r="B609" s="2" t="s">
        <v>93</v>
      </c>
      <c r="C609" s="4">
        <v>68.2</v>
      </c>
    </row>
    <row r="610" spans="1:3" x14ac:dyDescent="0.35">
      <c r="A610" s="2" t="s">
        <v>61</v>
      </c>
      <c r="B610" s="2" t="s">
        <v>62</v>
      </c>
      <c r="C610" s="4">
        <v>1.1000000000000001</v>
      </c>
    </row>
    <row r="611" spans="1:3" x14ac:dyDescent="0.35">
      <c r="A611" s="2" t="s">
        <v>98</v>
      </c>
      <c r="B611" s="2" t="s">
        <v>62</v>
      </c>
      <c r="C611" s="4">
        <v>1.1000000000000001</v>
      </c>
    </row>
    <row r="612" spans="1:3" x14ac:dyDescent="0.35">
      <c r="A612" s="2" t="s">
        <v>125</v>
      </c>
      <c r="B612" s="2" t="s">
        <v>62</v>
      </c>
      <c r="C612" s="4">
        <v>2.2000000000000002</v>
      </c>
    </row>
    <row r="613" spans="1:3" x14ac:dyDescent="0.35">
      <c r="A613" s="2" t="s">
        <v>154</v>
      </c>
      <c r="B613" s="2" t="s">
        <v>62</v>
      </c>
      <c r="C613" s="4">
        <v>2.2000000000000002</v>
      </c>
    </row>
    <row r="614" spans="1:3" x14ac:dyDescent="0.35">
      <c r="A614" s="2" t="s">
        <v>183</v>
      </c>
      <c r="B614" s="2" t="s">
        <v>62</v>
      </c>
      <c r="C614" s="4">
        <v>3.3</v>
      </c>
    </row>
    <row r="615" spans="1:3" x14ac:dyDescent="0.35">
      <c r="A615" s="2" t="s">
        <v>211</v>
      </c>
      <c r="B615" s="2" t="s">
        <v>62</v>
      </c>
      <c r="C615" s="4">
        <v>3.3</v>
      </c>
    </row>
    <row r="616" spans="1:3" x14ac:dyDescent="0.35">
      <c r="A616" s="2" t="s">
        <v>239</v>
      </c>
      <c r="B616" s="2" t="s">
        <v>62</v>
      </c>
      <c r="C616" s="4">
        <v>6.6</v>
      </c>
    </row>
    <row r="617" spans="1:3" x14ac:dyDescent="0.35">
      <c r="A617" s="2" t="s">
        <v>267</v>
      </c>
      <c r="B617" s="2" t="s">
        <v>62</v>
      </c>
      <c r="C617" s="4">
        <v>6.6</v>
      </c>
    </row>
    <row r="618" spans="1:3" x14ac:dyDescent="0.35">
      <c r="A618" s="2" t="s">
        <v>289</v>
      </c>
      <c r="B618" s="2" t="s">
        <v>62</v>
      </c>
      <c r="C618" s="4">
        <v>7.7</v>
      </c>
    </row>
    <row r="619" spans="1:3" x14ac:dyDescent="0.35">
      <c r="A619" s="2" t="s">
        <v>442</v>
      </c>
      <c r="B619" s="2" t="s">
        <v>443</v>
      </c>
      <c r="C619" s="4">
        <v>39.6</v>
      </c>
    </row>
    <row r="620" spans="1:3" x14ac:dyDescent="0.35">
      <c r="A620" s="2" t="s">
        <v>444</v>
      </c>
      <c r="B620" s="2" t="s">
        <v>443</v>
      </c>
      <c r="C620" s="4">
        <v>44</v>
      </c>
    </row>
    <row r="621" spans="1:3" x14ac:dyDescent="0.35">
      <c r="A621" s="2" t="s">
        <v>445</v>
      </c>
      <c r="B621" s="2" t="s">
        <v>443</v>
      </c>
      <c r="C621" s="4">
        <v>48.4</v>
      </c>
    </row>
    <row r="622" spans="1:3" x14ac:dyDescent="0.35">
      <c r="A622" s="2" t="s">
        <v>446</v>
      </c>
      <c r="B622" s="2" t="s">
        <v>443</v>
      </c>
      <c r="C622" s="4">
        <v>39.6</v>
      </c>
    </row>
    <row r="623" spans="1:3" x14ac:dyDescent="0.35">
      <c r="A623" s="2" t="s">
        <v>447</v>
      </c>
      <c r="B623" s="2" t="s">
        <v>443</v>
      </c>
      <c r="C623" s="4">
        <v>44</v>
      </c>
    </row>
    <row r="624" spans="1:3" x14ac:dyDescent="0.35">
      <c r="A624" s="2" t="s">
        <v>448</v>
      </c>
      <c r="B624" s="2" t="s">
        <v>443</v>
      </c>
      <c r="C624" s="4">
        <v>48.4</v>
      </c>
    </row>
    <row r="625" spans="1:3" x14ac:dyDescent="0.35">
      <c r="A625" s="2" t="s">
        <v>449</v>
      </c>
      <c r="B625" s="2" t="s">
        <v>443</v>
      </c>
      <c r="C625" s="4">
        <v>55</v>
      </c>
    </row>
    <row r="626" spans="1:3" x14ac:dyDescent="0.35">
      <c r="A626" s="2" t="s">
        <v>450</v>
      </c>
      <c r="B626" s="2" t="s">
        <v>443</v>
      </c>
      <c r="C626" s="4">
        <v>66</v>
      </c>
    </row>
    <row r="627" spans="1:3" x14ac:dyDescent="0.35">
      <c r="A627" s="2" t="s">
        <v>79</v>
      </c>
      <c r="B627" s="2" t="s">
        <v>80</v>
      </c>
      <c r="C627" s="4">
        <v>62.7</v>
      </c>
    </row>
    <row r="628" spans="1:3" x14ac:dyDescent="0.35">
      <c r="A628" s="2" t="s">
        <v>81</v>
      </c>
      <c r="B628" s="2" t="s">
        <v>80</v>
      </c>
      <c r="C628" s="4">
        <v>62.7</v>
      </c>
    </row>
    <row r="629" spans="1:3" x14ac:dyDescent="0.35">
      <c r="A629" s="2" t="s">
        <v>94</v>
      </c>
      <c r="B629" s="2" t="s">
        <v>80</v>
      </c>
      <c r="C629" s="4">
        <v>31.9</v>
      </c>
    </row>
    <row r="630" spans="1:3" x14ac:dyDescent="0.35">
      <c r="A630" s="2" t="s">
        <v>95</v>
      </c>
      <c r="B630" s="2" t="s">
        <v>80</v>
      </c>
      <c r="C630" s="4">
        <v>29.7</v>
      </c>
    </row>
    <row r="631" spans="1:3" x14ac:dyDescent="0.35">
      <c r="A631" s="2" t="s">
        <v>110</v>
      </c>
      <c r="B631" s="2" t="s">
        <v>80</v>
      </c>
      <c r="C631" s="4">
        <v>66</v>
      </c>
    </row>
    <row r="632" spans="1:3" x14ac:dyDescent="0.35">
      <c r="A632" s="2" t="s">
        <v>111</v>
      </c>
      <c r="B632" s="2" t="s">
        <v>80</v>
      </c>
      <c r="C632" s="4">
        <v>66</v>
      </c>
    </row>
    <row r="633" spans="1:3" x14ac:dyDescent="0.35">
      <c r="A633" s="2" t="s">
        <v>120</v>
      </c>
      <c r="B633" s="2" t="s">
        <v>80</v>
      </c>
      <c r="C633" s="4">
        <v>39.6</v>
      </c>
    </row>
    <row r="634" spans="1:3" x14ac:dyDescent="0.35">
      <c r="A634" s="2" t="s">
        <v>121</v>
      </c>
      <c r="B634" s="2" t="s">
        <v>80</v>
      </c>
      <c r="C634" s="4">
        <v>44</v>
      </c>
    </row>
    <row r="635" spans="1:3" x14ac:dyDescent="0.35">
      <c r="A635" s="2" t="s">
        <v>122</v>
      </c>
      <c r="B635" s="2" t="s">
        <v>80</v>
      </c>
      <c r="C635" s="4">
        <v>47.3</v>
      </c>
    </row>
    <row r="636" spans="1:3" x14ac:dyDescent="0.35">
      <c r="A636" s="2" t="s">
        <v>137</v>
      </c>
      <c r="B636" s="2" t="s">
        <v>80</v>
      </c>
      <c r="C636" s="4">
        <v>75.900000000000006</v>
      </c>
    </row>
    <row r="637" spans="1:3" x14ac:dyDescent="0.35">
      <c r="A637" s="2" t="s">
        <v>138</v>
      </c>
      <c r="B637" s="2" t="s">
        <v>80</v>
      </c>
      <c r="C637" s="4">
        <v>93.5</v>
      </c>
    </row>
    <row r="638" spans="1:3" x14ac:dyDescent="0.35">
      <c r="A638" s="2" t="s">
        <v>148</v>
      </c>
      <c r="B638" s="2" t="s">
        <v>80</v>
      </c>
      <c r="C638" s="4">
        <v>44</v>
      </c>
    </row>
    <row r="639" spans="1:3" x14ac:dyDescent="0.35">
      <c r="A639" s="2" t="s">
        <v>149</v>
      </c>
      <c r="B639" s="2" t="s">
        <v>80</v>
      </c>
      <c r="C639" s="4">
        <v>45.1</v>
      </c>
    </row>
    <row r="640" spans="1:3" x14ac:dyDescent="0.35">
      <c r="A640" s="2" t="s">
        <v>150</v>
      </c>
      <c r="B640" s="2" t="s">
        <v>80</v>
      </c>
      <c r="C640" s="4">
        <v>47.3</v>
      </c>
    </row>
    <row r="641" spans="1:3" x14ac:dyDescent="0.35">
      <c r="A641" s="2" t="s">
        <v>151</v>
      </c>
      <c r="B641" s="2" t="s">
        <v>80</v>
      </c>
      <c r="C641" s="4">
        <v>48.4</v>
      </c>
    </row>
    <row r="642" spans="1:3" x14ac:dyDescent="0.35">
      <c r="A642" s="2" t="s">
        <v>166</v>
      </c>
      <c r="B642" s="2" t="s">
        <v>80</v>
      </c>
      <c r="C642" s="4">
        <v>86.9</v>
      </c>
    </row>
    <row r="643" spans="1:3" x14ac:dyDescent="0.35">
      <c r="A643" s="2" t="s">
        <v>167</v>
      </c>
      <c r="B643" s="2" t="s">
        <v>80</v>
      </c>
      <c r="C643" s="4">
        <v>108.9</v>
      </c>
    </row>
    <row r="644" spans="1:3" x14ac:dyDescent="0.35">
      <c r="A644" s="2" t="s">
        <v>177</v>
      </c>
      <c r="B644" s="2" t="s">
        <v>80</v>
      </c>
      <c r="C644" s="4">
        <v>41.8</v>
      </c>
    </row>
    <row r="645" spans="1:3" x14ac:dyDescent="0.35">
      <c r="A645" s="2" t="s">
        <v>178</v>
      </c>
      <c r="B645" s="2" t="s">
        <v>80</v>
      </c>
      <c r="C645" s="4">
        <v>41.8</v>
      </c>
    </row>
    <row r="646" spans="1:3" x14ac:dyDescent="0.35">
      <c r="A646" s="2" t="s">
        <v>179</v>
      </c>
      <c r="B646" s="2" t="s">
        <v>80</v>
      </c>
      <c r="C646" s="4">
        <v>41.8</v>
      </c>
    </row>
    <row r="647" spans="1:3" x14ac:dyDescent="0.35">
      <c r="A647" s="2" t="s">
        <v>180</v>
      </c>
      <c r="B647" s="2" t="s">
        <v>80</v>
      </c>
      <c r="C647" s="4">
        <v>41.8</v>
      </c>
    </row>
    <row r="648" spans="1:3" x14ac:dyDescent="0.35">
      <c r="A648" s="2" t="s">
        <v>194</v>
      </c>
      <c r="B648" s="2" t="s">
        <v>80</v>
      </c>
      <c r="C648" s="4">
        <v>97.9</v>
      </c>
    </row>
    <row r="649" spans="1:3" x14ac:dyDescent="0.35">
      <c r="A649" s="2" t="s">
        <v>195</v>
      </c>
      <c r="B649" s="2" t="s">
        <v>80</v>
      </c>
      <c r="C649" s="4">
        <v>124.3</v>
      </c>
    </row>
    <row r="650" spans="1:3" x14ac:dyDescent="0.35">
      <c r="A650" s="2" t="s">
        <v>205</v>
      </c>
      <c r="B650" s="2" t="s">
        <v>80</v>
      </c>
      <c r="C650" s="4">
        <v>63.8</v>
      </c>
    </row>
    <row r="651" spans="1:3" x14ac:dyDescent="0.35">
      <c r="A651" s="2" t="s">
        <v>206</v>
      </c>
      <c r="B651" s="2" t="s">
        <v>80</v>
      </c>
      <c r="C651" s="4">
        <v>66</v>
      </c>
    </row>
    <row r="652" spans="1:3" x14ac:dyDescent="0.35">
      <c r="A652" s="2" t="s">
        <v>207</v>
      </c>
      <c r="B652" s="2" t="s">
        <v>80</v>
      </c>
      <c r="C652" s="4">
        <v>71.5</v>
      </c>
    </row>
    <row r="653" spans="1:3" x14ac:dyDescent="0.35">
      <c r="A653" s="2" t="s">
        <v>208</v>
      </c>
      <c r="B653" s="2" t="s">
        <v>80</v>
      </c>
      <c r="C653" s="4">
        <v>81.400000000000006</v>
      </c>
    </row>
    <row r="654" spans="1:3" x14ac:dyDescent="0.35">
      <c r="A654" s="2" t="s">
        <v>222</v>
      </c>
      <c r="B654" s="2" t="s">
        <v>80</v>
      </c>
      <c r="C654" s="4">
        <v>108.9</v>
      </c>
    </row>
    <row r="655" spans="1:3" x14ac:dyDescent="0.35">
      <c r="A655" s="2" t="s">
        <v>223</v>
      </c>
      <c r="B655" s="2" t="s">
        <v>80</v>
      </c>
      <c r="C655" s="4">
        <v>139.69999999999999</v>
      </c>
    </row>
    <row r="656" spans="1:3" x14ac:dyDescent="0.35">
      <c r="A656" s="2" t="s">
        <v>233</v>
      </c>
      <c r="B656" s="2" t="s">
        <v>80</v>
      </c>
      <c r="C656" s="4">
        <v>116.6</v>
      </c>
    </row>
    <row r="657" spans="1:3" x14ac:dyDescent="0.35">
      <c r="A657" s="2" t="s">
        <v>234</v>
      </c>
      <c r="B657" s="2" t="s">
        <v>80</v>
      </c>
      <c r="C657" s="4">
        <v>121</v>
      </c>
    </row>
    <row r="658" spans="1:3" x14ac:dyDescent="0.35">
      <c r="A658" s="2" t="s">
        <v>235</v>
      </c>
      <c r="B658" s="2" t="s">
        <v>80</v>
      </c>
      <c r="C658" s="4">
        <v>124.3</v>
      </c>
    </row>
    <row r="659" spans="1:3" x14ac:dyDescent="0.35">
      <c r="A659" s="2" t="s">
        <v>236</v>
      </c>
      <c r="B659" s="2" t="s">
        <v>80</v>
      </c>
      <c r="C659" s="4">
        <v>132</v>
      </c>
    </row>
    <row r="660" spans="1:3" x14ac:dyDescent="0.35">
      <c r="A660" s="2" t="s">
        <v>250</v>
      </c>
      <c r="B660" s="2" t="s">
        <v>80</v>
      </c>
      <c r="C660" s="4">
        <v>151.80000000000001</v>
      </c>
    </row>
    <row r="661" spans="1:3" x14ac:dyDescent="0.35">
      <c r="A661" s="2" t="s">
        <v>251</v>
      </c>
      <c r="B661" s="2" t="s">
        <v>80</v>
      </c>
      <c r="C661" s="4">
        <v>155.1</v>
      </c>
    </row>
    <row r="662" spans="1:3" x14ac:dyDescent="0.35">
      <c r="A662" s="2" t="s">
        <v>261</v>
      </c>
      <c r="B662" s="2" t="s">
        <v>80</v>
      </c>
      <c r="C662" s="4">
        <v>161.69999999999999</v>
      </c>
    </row>
    <row r="663" spans="1:3" x14ac:dyDescent="0.35">
      <c r="A663" s="2" t="s">
        <v>262</v>
      </c>
      <c r="B663" s="2" t="s">
        <v>80</v>
      </c>
      <c r="C663" s="4">
        <v>168.3</v>
      </c>
    </row>
    <row r="664" spans="1:3" x14ac:dyDescent="0.35">
      <c r="A664" s="2" t="s">
        <v>263</v>
      </c>
      <c r="B664" s="2" t="s">
        <v>80</v>
      </c>
      <c r="C664" s="4">
        <v>202.4</v>
      </c>
    </row>
    <row r="665" spans="1:3" x14ac:dyDescent="0.35">
      <c r="A665" s="2" t="s">
        <v>264</v>
      </c>
      <c r="B665" s="2" t="s">
        <v>80</v>
      </c>
      <c r="C665" s="4">
        <v>225.5</v>
      </c>
    </row>
    <row r="666" spans="1:3" x14ac:dyDescent="0.35">
      <c r="A666" s="2" t="s">
        <v>269</v>
      </c>
      <c r="B666" s="2" t="s">
        <v>80</v>
      </c>
      <c r="C666" s="4">
        <v>233.2</v>
      </c>
    </row>
    <row r="667" spans="1:3" x14ac:dyDescent="0.35">
      <c r="A667" s="2" t="s">
        <v>283</v>
      </c>
      <c r="B667" s="2" t="s">
        <v>80</v>
      </c>
      <c r="C667" s="4">
        <v>233.2</v>
      </c>
    </row>
    <row r="668" spans="1:3" x14ac:dyDescent="0.35">
      <c r="A668" s="2" t="s">
        <v>284</v>
      </c>
      <c r="B668" s="2" t="s">
        <v>80</v>
      </c>
      <c r="C668" s="4">
        <v>233.2</v>
      </c>
    </row>
    <row r="669" spans="1:3" x14ac:dyDescent="0.35">
      <c r="A669" s="2" t="s">
        <v>285</v>
      </c>
      <c r="B669" s="2" t="s">
        <v>80</v>
      </c>
      <c r="C669" s="4">
        <v>233.2</v>
      </c>
    </row>
    <row r="670" spans="1:3" x14ac:dyDescent="0.35">
      <c r="A670" s="2" t="s">
        <v>286</v>
      </c>
      <c r="B670" s="2" t="s">
        <v>80</v>
      </c>
      <c r="C670" s="4">
        <v>233.2</v>
      </c>
    </row>
    <row r="671" spans="1:3" x14ac:dyDescent="0.35">
      <c r="A671" s="2" t="s">
        <v>291</v>
      </c>
      <c r="B671" s="2" t="s">
        <v>80</v>
      </c>
      <c r="C671" s="4">
        <v>264</v>
      </c>
    </row>
    <row r="672" spans="1:3" x14ac:dyDescent="0.35">
      <c r="A672" s="2" t="s">
        <v>302</v>
      </c>
      <c r="B672" s="2" t="s">
        <v>80</v>
      </c>
      <c r="C672" s="4">
        <v>260.7</v>
      </c>
    </row>
    <row r="673" spans="1:3" x14ac:dyDescent="0.35">
      <c r="A673" s="2" t="s">
        <v>303</v>
      </c>
      <c r="B673" s="2" t="s">
        <v>80</v>
      </c>
      <c r="C673" s="4">
        <v>260.7</v>
      </c>
    </row>
    <row r="674" spans="1:3" x14ac:dyDescent="0.35">
      <c r="A674" s="2" t="s">
        <v>313</v>
      </c>
      <c r="B674" s="2" t="s">
        <v>80</v>
      </c>
      <c r="C674" s="4">
        <v>170.5</v>
      </c>
    </row>
    <row r="675" spans="1:3" x14ac:dyDescent="0.35">
      <c r="A675" s="2" t="s">
        <v>314</v>
      </c>
      <c r="B675" s="2" t="s">
        <v>80</v>
      </c>
      <c r="C675" s="4">
        <v>203.5</v>
      </c>
    </row>
    <row r="676" spans="1:3" x14ac:dyDescent="0.35">
      <c r="A676" s="2" t="s">
        <v>315</v>
      </c>
      <c r="B676" s="2" t="s">
        <v>80</v>
      </c>
      <c r="C676" s="4">
        <v>214.5</v>
      </c>
    </row>
    <row r="677" spans="1:3" x14ac:dyDescent="0.35">
      <c r="A677" s="2" t="s">
        <v>316</v>
      </c>
      <c r="B677" s="2" t="s">
        <v>80</v>
      </c>
      <c r="C677" s="4">
        <v>225.5</v>
      </c>
    </row>
    <row r="678" spans="1:3" x14ac:dyDescent="0.35">
      <c r="A678" s="2" t="s">
        <v>85</v>
      </c>
      <c r="B678" s="2" t="s">
        <v>86</v>
      </c>
      <c r="C678" s="4">
        <v>23.1</v>
      </c>
    </row>
    <row r="679" spans="1:3" x14ac:dyDescent="0.35">
      <c r="A679" s="2" t="s">
        <v>87</v>
      </c>
      <c r="B679" s="2" t="s">
        <v>86</v>
      </c>
      <c r="C679" s="4">
        <v>27.5</v>
      </c>
    </row>
    <row r="680" spans="1:3" x14ac:dyDescent="0.35">
      <c r="A680" s="2" t="s">
        <v>114</v>
      </c>
      <c r="B680" s="2" t="s">
        <v>86</v>
      </c>
      <c r="C680" s="4">
        <v>24.2</v>
      </c>
    </row>
    <row r="681" spans="1:3" x14ac:dyDescent="0.35">
      <c r="A681" s="2" t="s">
        <v>115</v>
      </c>
      <c r="B681" s="2" t="s">
        <v>86</v>
      </c>
      <c r="C681" s="4">
        <v>28.6</v>
      </c>
    </row>
    <row r="682" spans="1:3" x14ac:dyDescent="0.35">
      <c r="A682" s="2" t="s">
        <v>116</v>
      </c>
      <c r="B682" s="2" t="s">
        <v>86</v>
      </c>
      <c r="C682" s="4">
        <v>30.8</v>
      </c>
    </row>
    <row r="683" spans="1:3" x14ac:dyDescent="0.35">
      <c r="A683" s="2" t="s">
        <v>141</v>
      </c>
      <c r="B683" s="2" t="s">
        <v>86</v>
      </c>
      <c r="C683" s="4">
        <v>25.3</v>
      </c>
    </row>
    <row r="684" spans="1:3" x14ac:dyDescent="0.35">
      <c r="A684" s="2" t="s">
        <v>142</v>
      </c>
      <c r="B684" s="2" t="s">
        <v>86</v>
      </c>
      <c r="C684" s="4">
        <v>27.5</v>
      </c>
    </row>
    <row r="685" spans="1:3" x14ac:dyDescent="0.35">
      <c r="A685" s="2" t="s">
        <v>143</v>
      </c>
      <c r="B685" s="2" t="s">
        <v>86</v>
      </c>
      <c r="C685" s="4">
        <v>28.6</v>
      </c>
    </row>
    <row r="686" spans="1:3" x14ac:dyDescent="0.35">
      <c r="A686" s="2" t="s">
        <v>144</v>
      </c>
      <c r="B686" s="2" t="s">
        <v>86</v>
      </c>
      <c r="C686" s="4">
        <v>29.7</v>
      </c>
    </row>
    <row r="687" spans="1:3" x14ac:dyDescent="0.35">
      <c r="A687" s="2" t="s">
        <v>170</v>
      </c>
      <c r="B687" s="2" t="s">
        <v>86</v>
      </c>
      <c r="C687" s="4">
        <v>29.7</v>
      </c>
    </row>
    <row r="688" spans="1:3" x14ac:dyDescent="0.35">
      <c r="A688" s="2" t="s">
        <v>171</v>
      </c>
      <c r="B688" s="2" t="s">
        <v>86</v>
      </c>
      <c r="C688" s="4">
        <v>29.7</v>
      </c>
    </row>
    <row r="689" spans="1:3" x14ac:dyDescent="0.35">
      <c r="A689" s="2" t="s">
        <v>172</v>
      </c>
      <c r="B689" s="2" t="s">
        <v>86</v>
      </c>
      <c r="C689" s="4">
        <v>29.7</v>
      </c>
    </row>
    <row r="690" spans="1:3" x14ac:dyDescent="0.35">
      <c r="A690" s="2" t="s">
        <v>173</v>
      </c>
      <c r="B690" s="2" t="s">
        <v>86</v>
      </c>
      <c r="C690" s="4">
        <v>30.8</v>
      </c>
    </row>
    <row r="691" spans="1:3" x14ac:dyDescent="0.35">
      <c r="A691" s="2" t="s">
        <v>198</v>
      </c>
      <c r="B691" s="2" t="s">
        <v>86</v>
      </c>
      <c r="C691" s="4">
        <v>28.6</v>
      </c>
    </row>
    <row r="692" spans="1:3" x14ac:dyDescent="0.35">
      <c r="A692" s="2" t="s">
        <v>199</v>
      </c>
      <c r="B692" s="2" t="s">
        <v>86</v>
      </c>
      <c r="C692" s="4">
        <v>29.7</v>
      </c>
    </row>
    <row r="693" spans="1:3" x14ac:dyDescent="0.35">
      <c r="A693" s="2" t="s">
        <v>200</v>
      </c>
      <c r="B693" s="2" t="s">
        <v>86</v>
      </c>
      <c r="C693" s="4">
        <v>30.8</v>
      </c>
    </row>
    <row r="694" spans="1:3" x14ac:dyDescent="0.35">
      <c r="A694" s="2" t="s">
        <v>201</v>
      </c>
      <c r="B694" s="2" t="s">
        <v>86</v>
      </c>
      <c r="C694" s="4">
        <v>30.8</v>
      </c>
    </row>
    <row r="695" spans="1:3" x14ac:dyDescent="0.35">
      <c r="A695" s="2" t="s">
        <v>226</v>
      </c>
      <c r="B695" s="2" t="s">
        <v>86</v>
      </c>
      <c r="C695" s="4">
        <v>47.3</v>
      </c>
    </row>
    <row r="696" spans="1:3" x14ac:dyDescent="0.35">
      <c r="A696" s="2" t="s">
        <v>227</v>
      </c>
      <c r="B696" s="2" t="s">
        <v>86</v>
      </c>
      <c r="C696" s="4">
        <v>50.6</v>
      </c>
    </row>
    <row r="697" spans="1:3" x14ac:dyDescent="0.35">
      <c r="A697" s="2" t="s">
        <v>228</v>
      </c>
      <c r="B697" s="2" t="s">
        <v>86</v>
      </c>
      <c r="C697" s="4">
        <v>52.8</v>
      </c>
    </row>
    <row r="698" spans="1:3" x14ac:dyDescent="0.35">
      <c r="A698" s="2" t="s">
        <v>229</v>
      </c>
      <c r="B698" s="2" t="s">
        <v>86</v>
      </c>
      <c r="C698" s="4">
        <v>55</v>
      </c>
    </row>
    <row r="699" spans="1:3" x14ac:dyDescent="0.35">
      <c r="A699" s="2" t="s">
        <v>254</v>
      </c>
      <c r="B699" s="2" t="s">
        <v>86</v>
      </c>
      <c r="C699" s="4">
        <v>60.5</v>
      </c>
    </row>
    <row r="700" spans="1:3" x14ac:dyDescent="0.35">
      <c r="A700" s="2" t="s">
        <v>255</v>
      </c>
      <c r="B700" s="2" t="s">
        <v>86</v>
      </c>
      <c r="C700" s="4">
        <v>61.6</v>
      </c>
    </row>
    <row r="701" spans="1:3" x14ac:dyDescent="0.35">
      <c r="A701" s="2" t="s">
        <v>256</v>
      </c>
      <c r="B701" s="2" t="s">
        <v>86</v>
      </c>
      <c r="C701" s="4">
        <v>63.8</v>
      </c>
    </row>
    <row r="702" spans="1:3" x14ac:dyDescent="0.35">
      <c r="A702" s="2" t="s">
        <v>257</v>
      </c>
      <c r="B702" s="2" t="s">
        <v>86</v>
      </c>
      <c r="C702" s="4">
        <v>66</v>
      </c>
    </row>
    <row r="703" spans="1:3" x14ac:dyDescent="0.35">
      <c r="A703" s="2" t="s">
        <v>276</v>
      </c>
      <c r="B703" s="2" t="s">
        <v>86</v>
      </c>
      <c r="C703" s="4">
        <v>63.8</v>
      </c>
    </row>
    <row r="704" spans="1:3" x14ac:dyDescent="0.35">
      <c r="A704" s="2" t="s">
        <v>277</v>
      </c>
      <c r="B704" s="2" t="s">
        <v>86</v>
      </c>
      <c r="C704" s="4">
        <v>66</v>
      </c>
    </row>
    <row r="705" spans="1:3" x14ac:dyDescent="0.35">
      <c r="A705" s="2" t="s">
        <v>278</v>
      </c>
      <c r="B705" s="2" t="s">
        <v>86</v>
      </c>
      <c r="C705" s="4">
        <v>68.2</v>
      </c>
    </row>
    <row r="706" spans="1:3" x14ac:dyDescent="0.35">
      <c r="A706" s="2" t="s">
        <v>279</v>
      </c>
      <c r="B706" s="2" t="s">
        <v>86</v>
      </c>
      <c r="C706" s="4">
        <v>70.400000000000006</v>
      </c>
    </row>
    <row r="707" spans="1:3" x14ac:dyDescent="0.35">
      <c r="A707" s="2" t="s">
        <v>306</v>
      </c>
      <c r="B707" s="2" t="s">
        <v>86</v>
      </c>
      <c r="C707" s="4">
        <v>63.8</v>
      </c>
    </row>
    <row r="708" spans="1:3" x14ac:dyDescent="0.35">
      <c r="A708" s="2" t="s">
        <v>307</v>
      </c>
      <c r="B708" s="2" t="s">
        <v>86</v>
      </c>
      <c r="C708" s="4">
        <v>66</v>
      </c>
    </row>
    <row r="709" spans="1:3" x14ac:dyDescent="0.35">
      <c r="A709" s="2" t="s">
        <v>308</v>
      </c>
      <c r="B709" s="2" t="s">
        <v>86</v>
      </c>
      <c r="C709" s="4">
        <v>68.2</v>
      </c>
    </row>
    <row r="710" spans="1:3" x14ac:dyDescent="0.35">
      <c r="A710" s="2" t="s">
        <v>309</v>
      </c>
      <c r="B710" s="2" t="s">
        <v>86</v>
      </c>
      <c r="C710" s="4">
        <v>70.400000000000006</v>
      </c>
    </row>
    <row r="711" spans="1:3" x14ac:dyDescent="0.35">
      <c r="A711" s="2" t="s">
        <v>88</v>
      </c>
      <c r="B711" s="2" t="s">
        <v>89</v>
      </c>
      <c r="C711" s="4">
        <v>2.2000000000000002</v>
      </c>
    </row>
    <row r="712" spans="1:3" x14ac:dyDescent="0.35">
      <c r="A712" s="2" t="s">
        <v>117</v>
      </c>
      <c r="B712" s="2" t="s">
        <v>89</v>
      </c>
      <c r="C712" s="4">
        <v>2.2000000000000002</v>
      </c>
    </row>
    <row r="713" spans="1:3" x14ac:dyDescent="0.35">
      <c r="A713" s="2" t="s">
        <v>145</v>
      </c>
      <c r="B713" s="2" t="s">
        <v>89</v>
      </c>
      <c r="C713" s="4">
        <v>3.3</v>
      </c>
    </row>
    <row r="714" spans="1:3" x14ac:dyDescent="0.35">
      <c r="A714" s="2" t="s">
        <v>174</v>
      </c>
      <c r="B714" s="2" t="s">
        <v>89</v>
      </c>
      <c r="C714" s="4">
        <v>3.3</v>
      </c>
    </row>
    <row r="715" spans="1:3" x14ac:dyDescent="0.35">
      <c r="A715" s="2" t="s">
        <v>202</v>
      </c>
      <c r="B715" s="2" t="s">
        <v>89</v>
      </c>
      <c r="C715" s="4">
        <v>4.4000000000000004</v>
      </c>
    </row>
    <row r="716" spans="1:3" x14ac:dyDescent="0.35">
      <c r="A716" s="2" t="s">
        <v>230</v>
      </c>
      <c r="B716" s="2" t="s">
        <v>89</v>
      </c>
      <c r="C716" s="4">
        <v>5.5</v>
      </c>
    </row>
    <row r="717" spans="1:3" x14ac:dyDescent="0.35">
      <c r="A717" s="2" t="s">
        <v>258</v>
      </c>
      <c r="B717" s="2" t="s">
        <v>89</v>
      </c>
      <c r="C717" s="4">
        <v>8.8000000000000007</v>
      </c>
    </row>
    <row r="718" spans="1:3" x14ac:dyDescent="0.35">
      <c r="A718" s="2" t="s">
        <v>280</v>
      </c>
      <c r="B718" s="2" t="s">
        <v>89</v>
      </c>
      <c r="C718" s="4">
        <v>15.4</v>
      </c>
    </row>
    <row r="719" spans="1:3" x14ac:dyDescent="0.35">
      <c r="A719" s="2" t="s">
        <v>310</v>
      </c>
      <c r="B719" s="2" t="s">
        <v>89</v>
      </c>
      <c r="C719" s="4">
        <v>17.600000000000001</v>
      </c>
    </row>
    <row r="720" spans="1:3" x14ac:dyDescent="0.35">
      <c r="A720" s="2" t="s">
        <v>59</v>
      </c>
      <c r="B720" s="2" t="s">
        <v>60</v>
      </c>
      <c r="C720" s="4">
        <v>1.1000000000000001</v>
      </c>
    </row>
    <row r="721" spans="1:4" x14ac:dyDescent="0.35">
      <c r="A721" s="2" t="s">
        <v>97</v>
      </c>
      <c r="B721" s="2" t="s">
        <v>60</v>
      </c>
      <c r="C721" s="4">
        <v>1.1000000000000001</v>
      </c>
    </row>
    <row r="722" spans="1:4" x14ac:dyDescent="0.35">
      <c r="A722" s="2" t="s">
        <v>124</v>
      </c>
      <c r="B722" s="2" t="s">
        <v>60</v>
      </c>
      <c r="C722" s="4">
        <v>1.1000000000000001</v>
      </c>
    </row>
    <row r="723" spans="1:4" x14ac:dyDescent="0.35">
      <c r="A723" s="2" t="s">
        <v>153</v>
      </c>
      <c r="B723" s="2" t="s">
        <v>60</v>
      </c>
      <c r="C723" s="4">
        <v>1.1000000000000001</v>
      </c>
    </row>
    <row r="724" spans="1:4" x14ac:dyDescent="0.35">
      <c r="A724" s="2" t="s">
        <v>182</v>
      </c>
      <c r="B724" s="2" t="s">
        <v>60</v>
      </c>
      <c r="C724" s="4">
        <v>1.1000000000000001</v>
      </c>
    </row>
    <row r="725" spans="1:4" x14ac:dyDescent="0.35">
      <c r="A725" s="2" t="s">
        <v>210</v>
      </c>
      <c r="B725" s="2" t="s">
        <v>60</v>
      </c>
      <c r="C725" s="4">
        <v>1.1000000000000001</v>
      </c>
      <c r="D725">
        <v>6</v>
      </c>
    </row>
    <row r="726" spans="1:4" x14ac:dyDescent="0.35">
      <c r="A726" s="2" t="s">
        <v>238</v>
      </c>
      <c r="B726" s="2" t="s">
        <v>60</v>
      </c>
      <c r="C726" s="4">
        <v>1.1000000000000001</v>
      </c>
      <c r="D726">
        <v>7</v>
      </c>
    </row>
    <row r="727" spans="1:4" x14ac:dyDescent="0.35">
      <c r="A727" s="2" t="s">
        <v>266</v>
      </c>
      <c r="B727" s="2" t="s">
        <v>60</v>
      </c>
      <c r="C727" s="4">
        <v>1.1000000000000001</v>
      </c>
      <c r="D727">
        <v>10</v>
      </c>
    </row>
    <row r="728" spans="1:4" x14ac:dyDescent="0.35">
      <c r="A728" s="2" t="s">
        <v>288</v>
      </c>
      <c r="B728" s="2" t="s">
        <v>60</v>
      </c>
      <c r="C728" s="4">
        <v>2.2000000000000002</v>
      </c>
      <c r="D728">
        <v>11</v>
      </c>
    </row>
    <row r="729" spans="1:4" x14ac:dyDescent="0.35">
      <c r="A729" s="2" t="s">
        <v>83</v>
      </c>
      <c r="B729" s="2" t="s">
        <v>84</v>
      </c>
      <c r="C729" s="4">
        <v>99</v>
      </c>
      <c r="D729">
        <v>12</v>
      </c>
    </row>
    <row r="730" spans="1:4" x14ac:dyDescent="0.35">
      <c r="A730" s="2" t="s">
        <v>113</v>
      </c>
      <c r="B730" s="2" t="s">
        <v>84</v>
      </c>
      <c r="C730" s="4">
        <v>104.5</v>
      </c>
      <c r="D730">
        <v>13</v>
      </c>
    </row>
    <row r="731" spans="1:4" x14ac:dyDescent="0.35">
      <c r="A731" s="2" t="s">
        <v>140</v>
      </c>
      <c r="B731" s="2" t="s">
        <v>84</v>
      </c>
      <c r="C731" s="4">
        <v>66</v>
      </c>
      <c r="D731">
        <v>15</v>
      </c>
    </row>
    <row r="732" spans="1:4" x14ac:dyDescent="0.35">
      <c r="A732" s="2" t="s">
        <v>169</v>
      </c>
      <c r="B732" s="2" t="s">
        <v>84</v>
      </c>
      <c r="C732" s="4">
        <v>121</v>
      </c>
      <c r="D732">
        <v>30</v>
      </c>
    </row>
    <row r="733" spans="1:4" x14ac:dyDescent="0.35">
      <c r="A733" s="2" t="s">
        <v>197</v>
      </c>
      <c r="B733" s="2" t="s">
        <v>84</v>
      </c>
      <c r="C733" s="4">
        <v>148.5</v>
      </c>
      <c r="D733">
        <v>51</v>
      </c>
    </row>
    <row r="734" spans="1:4" x14ac:dyDescent="0.35">
      <c r="A734" s="2" t="s">
        <v>225</v>
      </c>
      <c r="B734" s="2" t="s">
        <v>84</v>
      </c>
      <c r="C734" s="4">
        <v>173.8</v>
      </c>
      <c r="D734">
        <v>121</v>
      </c>
    </row>
    <row r="735" spans="1:4" x14ac:dyDescent="0.35">
      <c r="A735" s="2" t="s">
        <v>253</v>
      </c>
      <c r="B735" s="2" t="s">
        <v>84</v>
      </c>
      <c r="C735" s="4">
        <v>310.2</v>
      </c>
      <c r="D735">
        <v>159</v>
      </c>
    </row>
    <row r="736" spans="1:4" x14ac:dyDescent="0.35">
      <c r="A736" s="2" t="s">
        <v>275</v>
      </c>
      <c r="B736" s="2" t="s">
        <v>84</v>
      </c>
      <c r="C736" s="4">
        <v>260.7</v>
      </c>
      <c r="D736">
        <v>210</v>
      </c>
    </row>
    <row r="737" spans="1:4" x14ac:dyDescent="0.35">
      <c r="A737" s="2" t="s">
        <v>305</v>
      </c>
      <c r="B737" s="2" t="s">
        <v>84</v>
      </c>
      <c r="C737" s="4">
        <v>260.7</v>
      </c>
      <c r="D737">
        <v>143</v>
      </c>
    </row>
    <row r="738" spans="1:4" x14ac:dyDescent="0.35">
      <c r="A738" s="2" t="s">
        <v>72</v>
      </c>
      <c r="B738" s="2" t="s">
        <v>73</v>
      </c>
      <c r="C738" s="4">
        <v>33</v>
      </c>
      <c r="D738">
        <v>187</v>
      </c>
    </row>
    <row r="739" spans="1:4" x14ac:dyDescent="0.35">
      <c r="A739" s="2" t="s">
        <v>104</v>
      </c>
      <c r="B739" s="2" t="s">
        <v>73</v>
      </c>
      <c r="C739" s="4">
        <v>97.9</v>
      </c>
      <c r="D739">
        <v>245</v>
      </c>
    </row>
    <row r="740" spans="1:4" x14ac:dyDescent="0.35">
      <c r="A740" s="2" t="s">
        <v>131</v>
      </c>
      <c r="B740" s="2" t="s">
        <v>73</v>
      </c>
      <c r="C740" s="4">
        <v>114.4</v>
      </c>
      <c r="D740">
        <v>303</v>
      </c>
    </row>
    <row r="741" spans="1:4" x14ac:dyDescent="0.35">
      <c r="A741" s="2" t="s">
        <v>160</v>
      </c>
      <c r="B741" s="2" t="s">
        <v>73</v>
      </c>
      <c r="C741" s="4">
        <v>130.9</v>
      </c>
      <c r="D741">
        <v>372</v>
      </c>
    </row>
    <row r="742" spans="1:4" x14ac:dyDescent="0.35">
      <c r="A742" s="2" t="s">
        <v>188</v>
      </c>
      <c r="B742" s="2" t="s">
        <v>73</v>
      </c>
      <c r="C742" s="4">
        <v>147.4</v>
      </c>
      <c r="D742">
        <v>419</v>
      </c>
    </row>
    <row r="743" spans="1:4" x14ac:dyDescent="0.35">
      <c r="A743" s="2" t="s">
        <v>216</v>
      </c>
      <c r="B743" s="2" t="s">
        <v>73</v>
      </c>
      <c r="C743" s="4">
        <v>162.80000000000001</v>
      </c>
      <c r="D743">
        <v>603</v>
      </c>
    </row>
    <row r="744" spans="1:4" x14ac:dyDescent="0.35">
      <c r="A744" s="2" t="s">
        <v>244</v>
      </c>
      <c r="B744" s="2" t="s">
        <v>73</v>
      </c>
      <c r="C744" s="4">
        <v>227.7</v>
      </c>
      <c r="D744">
        <v>663</v>
      </c>
    </row>
    <row r="745" spans="1:4" x14ac:dyDescent="0.35">
      <c r="A745" s="2" t="s">
        <v>274</v>
      </c>
      <c r="B745" s="2" t="s">
        <v>73</v>
      </c>
      <c r="C745" s="4">
        <v>227.7</v>
      </c>
      <c r="D745">
        <v>778</v>
      </c>
    </row>
    <row r="746" spans="1:4" x14ac:dyDescent="0.35">
      <c r="A746" s="2" t="s">
        <v>296</v>
      </c>
      <c r="B746" s="2" t="s">
        <v>73</v>
      </c>
      <c r="C746" s="4">
        <v>390.5</v>
      </c>
      <c r="D746">
        <v>217</v>
      </c>
    </row>
    <row r="747" spans="1:4" x14ac:dyDescent="0.35">
      <c r="A747" s="2" t="s">
        <v>70</v>
      </c>
      <c r="B747" s="2" t="s">
        <v>71</v>
      </c>
      <c r="C747" s="4">
        <v>49.5</v>
      </c>
      <c r="D747">
        <v>284</v>
      </c>
    </row>
    <row r="748" spans="1:4" x14ac:dyDescent="0.35">
      <c r="A748" s="2" t="s">
        <v>103</v>
      </c>
      <c r="B748" s="2" t="s">
        <v>71</v>
      </c>
      <c r="C748" s="4">
        <v>147.4</v>
      </c>
      <c r="D748">
        <v>373</v>
      </c>
    </row>
    <row r="749" spans="1:4" x14ac:dyDescent="0.35">
      <c r="A749" s="2" t="s">
        <v>130</v>
      </c>
      <c r="B749" s="2" t="s">
        <v>71</v>
      </c>
      <c r="C749" s="4">
        <v>171.6</v>
      </c>
      <c r="D749">
        <v>460</v>
      </c>
    </row>
    <row r="750" spans="1:4" x14ac:dyDescent="0.35">
      <c r="A750" s="2" t="s">
        <v>159</v>
      </c>
      <c r="B750" s="2" t="s">
        <v>71</v>
      </c>
      <c r="C750" s="4">
        <v>195.8</v>
      </c>
      <c r="D750">
        <v>565</v>
      </c>
    </row>
    <row r="751" spans="1:4" x14ac:dyDescent="0.35">
      <c r="A751" s="2" t="s">
        <v>187</v>
      </c>
      <c r="B751" s="2" t="s">
        <v>71</v>
      </c>
      <c r="C751" s="4">
        <v>220</v>
      </c>
      <c r="D751">
        <v>637</v>
      </c>
    </row>
    <row r="752" spans="1:4" x14ac:dyDescent="0.35">
      <c r="A752" s="2" t="s">
        <v>215</v>
      </c>
      <c r="B752" s="2" t="s">
        <v>71</v>
      </c>
      <c r="C752" s="4">
        <v>244.2</v>
      </c>
      <c r="D752">
        <v>916</v>
      </c>
    </row>
    <row r="753" spans="1:4" x14ac:dyDescent="0.35">
      <c r="A753" s="2" t="s">
        <v>243</v>
      </c>
      <c r="B753" s="2" t="s">
        <v>71</v>
      </c>
      <c r="C753" s="4">
        <v>342.1</v>
      </c>
      <c r="D753">
        <v>1007</v>
      </c>
    </row>
    <row r="754" spans="1:4" x14ac:dyDescent="0.35">
      <c r="A754" s="2" t="s">
        <v>273</v>
      </c>
      <c r="B754" s="2" t="s">
        <v>71</v>
      </c>
      <c r="C754" s="4">
        <v>342.1</v>
      </c>
      <c r="D754">
        <v>1182</v>
      </c>
    </row>
    <row r="755" spans="1:4" x14ac:dyDescent="0.35">
      <c r="A755" s="2" t="s">
        <v>295</v>
      </c>
      <c r="B755" s="2" t="s">
        <v>71</v>
      </c>
      <c r="C755" s="4">
        <v>586.29999999999995</v>
      </c>
      <c r="D755">
        <v>200</v>
      </c>
    </row>
    <row r="756" spans="1:4" x14ac:dyDescent="0.35">
      <c r="A756" s="2" t="s">
        <v>68</v>
      </c>
      <c r="B756" s="2" t="s">
        <v>69</v>
      </c>
      <c r="C756" s="4">
        <v>16.5</v>
      </c>
      <c r="D756">
        <v>260</v>
      </c>
    </row>
    <row r="757" spans="1:4" x14ac:dyDescent="0.35">
      <c r="A757" s="2" t="s">
        <v>102</v>
      </c>
      <c r="B757" s="2" t="s">
        <v>69</v>
      </c>
      <c r="C757" s="4">
        <v>19.8</v>
      </c>
      <c r="D757">
        <v>344</v>
      </c>
    </row>
    <row r="758" spans="1:4" x14ac:dyDescent="0.35">
      <c r="A758" s="2" t="s">
        <v>129</v>
      </c>
      <c r="B758" s="2" t="s">
        <v>69</v>
      </c>
      <c r="C758" s="4">
        <v>24.2</v>
      </c>
      <c r="D758">
        <v>424</v>
      </c>
    </row>
    <row r="759" spans="1:4" x14ac:dyDescent="0.35">
      <c r="A759" s="2" t="s">
        <v>158</v>
      </c>
      <c r="B759" s="2" t="s">
        <v>69</v>
      </c>
      <c r="C759" s="4">
        <v>28.6</v>
      </c>
      <c r="D759">
        <v>520</v>
      </c>
    </row>
    <row r="760" spans="1:4" x14ac:dyDescent="0.35">
      <c r="A760" s="2" t="s">
        <v>186</v>
      </c>
      <c r="B760" s="2" t="s">
        <v>69</v>
      </c>
      <c r="C760" s="4">
        <v>34.1</v>
      </c>
      <c r="D760">
        <v>587</v>
      </c>
    </row>
    <row r="761" spans="1:4" x14ac:dyDescent="0.35">
      <c r="A761" s="2" t="s">
        <v>214</v>
      </c>
      <c r="B761" s="2" t="s">
        <v>69</v>
      </c>
      <c r="C761" s="4">
        <v>40.700000000000003</v>
      </c>
      <c r="D761">
        <v>845</v>
      </c>
    </row>
    <row r="762" spans="1:4" x14ac:dyDescent="0.35">
      <c r="A762" s="2" t="s">
        <v>242</v>
      </c>
      <c r="B762" s="2" t="s">
        <v>69</v>
      </c>
      <c r="C762" s="4">
        <v>49.5</v>
      </c>
      <c r="D762">
        <v>928</v>
      </c>
    </row>
    <row r="763" spans="1:4" x14ac:dyDescent="0.35">
      <c r="A763" s="2" t="s">
        <v>272</v>
      </c>
      <c r="B763" s="2" t="s">
        <v>69</v>
      </c>
      <c r="C763" s="4">
        <v>59.4</v>
      </c>
      <c r="D763">
        <v>1089</v>
      </c>
    </row>
    <row r="764" spans="1:4" x14ac:dyDescent="0.35">
      <c r="A764" s="2" t="s">
        <v>294</v>
      </c>
      <c r="B764" s="2" t="s">
        <v>69</v>
      </c>
      <c r="C764" s="4">
        <v>78.099999999999994</v>
      </c>
      <c r="D764">
        <v>810</v>
      </c>
    </row>
    <row r="765" spans="1:4" x14ac:dyDescent="0.35">
      <c r="A765" s="2" t="s">
        <v>66</v>
      </c>
      <c r="B765" s="2" t="s">
        <v>67</v>
      </c>
      <c r="C765" s="4">
        <v>22</v>
      </c>
      <c r="D765">
        <v>1055</v>
      </c>
    </row>
    <row r="766" spans="1:4" x14ac:dyDescent="0.35">
      <c r="A766" s="2" t="s">
        <v>101</v>
      </c>
      <c r="B766" s="2" t="s">
        <v>67</v>
      </c>
      <c r="C766" s="4">
        <v>26.4</v>
      </c>
      <c r="D766">
        <v>1295</v>
      </c>
    </row>
    <row r="767" spans="1:4" x14ac:dyDescent="0.35">
      <c r="A767" s="2" t="s">
        <v>128</v>
      </c>
      <c r="B767" s="2" t="s">
        <v>67</v>
      </c>
      <c r="C767" s="4">
        <v>30.8</v>
      </c>
      <c r="D767">
        <v>55</v>
      </c>
    </row>
    <row r="768" spans="1:4" x14ac:dyDescent="0.35">
      <c r="A768" s="2" t="s">
        <v>157</v>
      </c>
      <c r="B768" s="2" t="s">
        <v>67</v>
      </c>
      <c r="C768" s="4">
        <v>37.4</v>
      </c>
      <c r="D768">
        <v>68</v>
      </c>
    </row>
    <row r="769" spans="1:4" x14ac:dyDescent="0.35">
      <c r="A769" s="2" t="s">
        <v>185</v>
      </c>
      <c r="B769" s="2" t="s">
        <v>67</v>
      </c>
      <c r="C769" s="4">
        <v>44</v>
      </c>
      <c r="D769">
        <v>79</v>
      </c>
    </row>
    <row r="770" spans="1:4" x14ac:dyDescent="0.35">
      <c r="A770" s="2" t="s">
        <v>213</v>
      </c>
      <c r="B770" s="2" t="s">
        <v>67</v>
      </c>
      <c r="C770" s="4">
        <v>52.8</v>
      </c>
      <c r="D770">
        <v>109</v>
      </c>
    </row>
    <row r="771" spans="1:4" x14ac:dyDescent="0.35">
      <c r="A771" s="2" t="s">
        <v>241</v>
      </c>
      <c r="B771" s="2" t="s">
        <v>67</v>
      </c>
      <c r="C771" s="4">
        <v>63.8</v>
      </c>
      <c r="D771">
        <v>130</v>
      </c>
    </row>
    <row r="772" spans="1:4" x14ac:dyDescent="0.35">
      <c r="A772" s="2" t="s">
        <v>271</v>
      </c>
      <c r="B772" s="2" t="s">
        <v>67</v>
      </c>
      <c r="C772" s="4">
        <v>75.900000000000006</v>
      </c>
      <c r="D772">
        <v>212</v>
      </c>
    </row>
    <row r="773" spans="1:4" x14ac:dyDescent="0.35">
      <c r="A773" s="2" t="s">
        <v>293</v>
      </c>
      <c r="B773" s="2" t="s">
        <v>67</v>
      </c>
      <c r="C773" s="4">
        <v>101.2</v>
      </c>
      <c r="D773">
        <v>325</v>
      </c>
    </row>
    <row r="774" spans="1:4" x14ac:dyDescent="0.35">
      <c r="A774" s="2" t="s">
        <v>90</v>
      </c>
      <c r="B774" s="2" t="s">
        <v>91</v>
      </c>
      <c r="C774" s="4">
        <v>4.4000000000000004</v>
      </c>
      <c r="D774">
        <v>439</v>
      </c>
    </row>
    <row r="775" spans="1:4" x14ac:dyDescent="0.35">
      <c r="A775" s="2" t="s">
        <v>118</v>
      </c>
      <c r="B775" s="2" t="s">
        <v>91</v>
      </c>
      <c r="C775" s="4">
        <v>6.6</v>
      </c>
      <c r="D775">
        <v>503</v>
      </c>
    </row>
    <row r="776" spans="1:4" x14ac:dyDescent="0.35">
      <c r="A776" s="2" t="s">
        <v>146</v>
      </c>
      <c r="B776" s="2" t="s">
        <v>91</v>
      </c>
      <c r="C776" s="4">
        <v>8.8000000000000007</v>
      </c>
      <c r="D776">
        <v>1215</v>
      </c>
    </row>
    <row r="777" spans="1:4" x14ac:dyDescent="0.35">
      <c r="A777" s="2" t="s">
        <v>175</v>
      </c>
      <c r="B777" s="2" t="s">
        <v>91</v>
      </c>
      <c r="C777" s="4">
        <v>13.2</v>
      </c>
      <c r="D777">
        <v>1583</v>
      </c>
    </row>
    <row r="778" spans="1:4" x14ac:dyDescent="0.35">
      <c r="A778" s="2" t="s">
        <v>203</v>
      </c>
      <c r="B778" s="2" t="s">
        <v>91</v>
      </c>
      <c r="C778" s="4">
        <v>13.2</v>
      </c>
      <c r="D778">
        <v>1943</v>
      </c>
    </row>
    <row r="779" spans="1:4" x14ac:dyDescent="0.35">
      <c r="A779" s="2" t="s">
        <v>231</v>
      </c>
      <c r="B779" s="2" t="s">
        <v>91</v>
      </c>
      <c r="C779" s="4">
        <v>14.3</v>
      </c>
      <c r="D779">
        <v>83</v>
      </c>
    </row>
    <row r="780" spans="1:4" x14ac:dyDescent="0.35">
      <c r="A780" s="2" t="s">
        <v>259</v>
      </c>
      <c r="B780" s="2" t="s">
        <v>91</v>
      </c>
      <c r="C780" s="4">
        <v>15.4</v>
      </c>
      <c r="D780">
        <v>102</v>
      </c>
    </row>
    <row r="781" spans="1:4" x14ac:dyDescent="0.35">
      <c r="A781" s="2" t="s">
        <v>281</v>
      </c>
      <c r="B781" s="2" t="s">
        <v>91</v>
      </c>
      <c r="C781" s="4">
        <v>13.2</v>
      </c>
      <c r="D781">
        <v>119</v>
      </c>
    </row>
    <row r="782" spans="1:4" x14ac:dyDescent="0.35">
      <c r="A782" s="2" t="s">
        <v>311</v>
      </c>
      <c r="B782" s="2" t="s">
        <v>91</v>
      </c>
      <c r="C782" s="4">
        <v>17.600000000000001</v>
      </c>
      <c r="D782">
        <v>164</v>
      </c>
    </row>
    <row r="783" spans="1:4" x14ac:dyDescent="0.35">
      <c r="A783" s="2" t="s">
        <v>341</v>
      </c>
      <c r="B783" s="2" t="s">
        <v>342</v>
      </c>
      <c r="C783" s="4">
        <v>16.5</v>
      </c>
      <c r="D783">
        <v>195</v>
      </c>
    </row>
    <row r="784" spans="1:4" x14ac:dyDescent="0.35">
      <c r="A784" s="2" t="s">
        <v>343</v>
      </c>
      <c r="B784" s="2" t="s">
        <v>342</v>
      </c>
      <c r="C784" s="4">
        <v>18.7</v>
      </c>
      <c r="D784">
        <v>317</v>
      </c>
    </row>
    <row r="785" spans="1:4" x14ac:dyDescent="0.35">
      <c r="A785" s="2" t="s">
        <v>344</v>
      </c>
      <c r="B785" s="2" t="s">
        <v>342</v>
      </c>
      <c r="C785" s="4">
        <v>24.2</v>
      </c>
      <c r="D785">
        <v>488</v>
      </c>
    </row>
    <row r="786" spans="1:4" x14ac:dyDescent="0.35">
      <c r="A786" s="2" t="s">
        <v>345</v>
      </c>
      <c r="B786" s="2" t="s">
        <v>342</v>
      </c>
      <c r="C786" s="4">
        <v>28.6</v>
      </c>
      <c r="D786">
        <v>659</v>
      </c>
    </row>
    <row r="787" spans="1:4" x14ac:dyDescent="0.35">
      <c r="A787" s="2" t="s">
        <v>346</v>
      </c>
      <c r="B787" s="2" t="s">
        <v>342</v>
      </c>
      <c r="C787" s="4">
        <v>31.9</v>
      </c>
      <c r="D787">
        <v>754</v>
      </c>
    </row>
    <row r="788" spans="1:4" x14ac:dyDescent="0.35">
      <c r="A788" s="2" t="s">
        <v>347</v>
      </c>
      <c r="B788" s="2" t="s">
        <v>342</v>
      </c>
      <c r="C788" s="4">
        <v>39.6</v>
      </c>
      <c r="D788">
        <v>891</v>
      </c>
    </row>
    <row r="789" spans="1:4" x14ac:dyDescent="0.35">
      <c r="A789" s="2" t="s">
        <v>317</v>
      </c>
      <c r="B789" s="2" t="s">
        <v>318</v>
      </c>
      <c r="C789" s="4">
        <v>70.400000000000006</v>
      </c>
      <c r="D789">
        <v>1161</v>
      </c>
    </row>
    <row r="790" spans="1:4" x14ac:dyDescent="0.35">
      <c r="A790" s="2" t="s">
        <v>63</v>
      </c>
      <c r="B790" s="2" t="s">
        <v>64</v>
      </c>
      <c r="C790" s="4">
        <v>26.4</v>
      </c>
      <c r="D790">
        <v>1425</v>
      </c>
    </row>
    <row r="791" spans="1:4" x14ac:dyDescent="0.35">
      <c r="A791" s="2" t="s">
        <v>65</v>
      </c>
      <c r="B791" s="2" t="s">
        <v>64</v>
      </c>
      <c r="C791" s="4">
        <v>28.6</v>
      </c>
      <c r="D791">
        <v>61</v>
      </c>
    </row>
    <row r="792" spans="1:4" x14ac:dyDescent="0.35">
      <c r="A792" s="2" t="s">
        <v>74</v>
      </c>
      <c r="B792" s="2" t="s">
        <v>64</v>
      </c>
      <c r="C792" s="4">
        <v>45.1</v>
      </c>
      <c r="D792">
        <v>75</v>
      </c>
    </row>
    <row r="793" spans="1:4" x14ac:dyDescent="0.35">
      <c r="A793" s="2" t="s">
        <v>75</v>
      </c>
      <c r="B793" s="2" t="s">
        <v>64</v>
      </c>
      <c r="C793" s="4">
        <v>36.299999999999997</v>
      </c>
      <c r="D793">
        <v>87</v>
      </c>
    </row>
    <row r="794" spans="1:4" x14ac:dyDescent="0.35">
      <c r="A794" s="2" t="s">
        <v>76</v>
      </c>
      <c r="B794" s="2" t="s">
        <v>64</v>
      </c>
      <c r="C794" s="4">
        <v>45.1</v>
      </c>
      <c r="D794">
        <v>120</v>
      </c>
    </row>
    <row r="795" spans="1:4" x14ac:dyDescent="0.35">
      <c r="A795" s="2" t="s">
        <v>77</v>
      </c>
      <c r="B795" s="2" t="s">
        <v>64</v>
      </c>
      <c r="C795" s="4">
        <v>48.4</v>
      </c>
      <c r="D795">
        <v>143</v>
      </c>
    </row>
    <row r="796" spans="1:4" x14ac:dyDescent="0.35">
      <c r="A796" s="2" t="s">
        <v>78</v>
      </c>
      <c r="B796" s="2" t="s">
        <v>64</v>
      </c>
      <c r="C796" s="4">
        <v>47.3</v>
      </c>
      <c r="D796">
        <v>233</v>
      </c>
    </row>
    <row r="797" spans="1:4" x14ac:dyDescent="0.35">
      <c r="A797" s="2" t="s">
        <v>82</v>
      </c>
      <c r="B797" s="2" t="s">
        <v>64</v>
      </c>
      <c r="C797" s="4">
        <v>78.099999999999994</v>
      </c>
      <c r="D797">
        <v>358</v>
      </c>
    </row>
    <row r="798" spans="1:4" x14ac:dyDescent="0.35">
      <c r="A798" s="2" t="s">
        <v>99</v>
      </c>
      <c r="B798" s="2" t="s">
        <v>64</v>
      </c>
      <c r="C798" s="4">
        <v>27.5</v>
      </c>
      <c r="D798">
        <v>483</v>
      </c>
    </row>
    <row r="799" spans="1:4" x14ac:dyDescent="0.35">
      <c r="A799" s="2" t="s">
        <v>100</v>
      </c>
      <c r="B799" s="2" t="s">
        <v>64</v>
      </c>
      <c r="C799" s="4">
        <v>37.4</v>
      </c>
      <c r="D799">
        <v>553</v>
      </c>
    </row>
    <row r="800" spans="1:4" x14ac:dyDescent="0.35">
      <c r="A800" s="2" t="s">
        <v>105</v>
      </c>
      <c r="B800" s="2" t="s">
        <v>64</v>
      </c>
      <c r="C800" s="4">
        <v>51.7</v>
      </c>
      <c r="D800">
        <v>1135</v>
      </c>
    </row>
    <row r="801" spans="1:4" x14ac:dyDescent="0.35">
      <c r="A801" s="2" t="s">
        <v>106</v>
      </c>
      <c r="B801" s="2" t="s">
        <v>64</v>
      </c>
      <c r="C801" s="4">
        <v>42.9</v>
      </c>
      <c r="D801">
        <v>1478</v>
      </c>
    </row>
    <row r="802" spans="1:4" x14ac:dyDescent="0.35">
      <c r="A802" s="2" t="s">
        <v>107</v>
      </c>
      <c r="B802" s="2" t="s">
        <v>64</v>
      </c>
      <c r="C802" s="4">
        <v>51.7</v>
      </c>
      <c r="D802">
        <v>1812</v>
      </c>
    </row>
    <row r="803" spans="1:4" x14ac:dyDescent="0.35">
      <c r="A803" s="2" t="s">
        <v>108</v>
      </c>
      <c r="B803" s="2" t="s">
        <v>64</v>
      </c>
      <c r="C803" s="4">
        <v>55</v>
      </c>
      <c r="D803">
        <v>78</v>
      </c>
    </row>
    <row r="804" spans="1:4" x14ac:dyDescent="0.35">
      <c r="A804" s="2" t="s">
        <v>109</v>
      </c>
      <c r="B804" s="2" t="s">
        <v>64</v>
      </c>
      <c r="C804" s="4">
        <v>52.8</v>
      </c>
      <c r="D804">
        <v>95</v>
      </c>
    </row>
    <row r="805" spans="1:4" x14ac:dyDescent="0.35">
      <c r="A805" s="2" t="s">
        <v>112</v>
      </c>
      <c r="B805" s="2" t="s">
        <v>64</v>
      </c>
      <c r="C805" s="4">
        <v>78.099999999999994</v>
      </c>
      <c r="D805">
        <v>110</v>
      </c>
    </row>
    <row r="806" spans="1:4" x14ac:dyDescent="0.35">
      <c r="A806" s="2" t="s">
        <v>126</v>
      </c>
      <c r="B806" s="2" t="s">
        <v>64</v>
      </c>
      <c r="C806" s="4">
        <v>30.36</v>
      </c>
      <c r="D806">
        <v>154</v>
      </c>
    </row>
    <row r="807" spans="1:4" x14ac:dyDescent="0.35">
      <c r="A807" s="2" t="s">
        <v>127</v>
      </c>
      <c r="B807" s="2" t="s">
        <v>64</v>
      </c>
      <c r="C807" s="4">
        <v>44</v>
      </c>
      <c r="D807">
        <v>183</v>
      </c>
    </row>
    <row r="808" spans="1:4" x14ac:dyDescent="0.35">
      <c r="A808" s="2" t="s">
        <v>132</v>
      </c>
      <c r="B808" s="2" t="s">
        <v>64</v>
      </c>
      <c r="C808" s="4">
        <v>60.5</v>
      </c>
      <c r="D808">
        <v>297</v>
      </c>
    </row>
    <row r="809" spans="1:4" x14ac:dyDescent="0.35">
      <c r="A809" s="2" t="s">
        <v>133</v>
      </c>
      <c r="B809" s="2" t="s">
        <v>64</v>
      </c>
      <c r="C809" s="4">
        <v>48.4</v>
      </c>
      <c r="D809">
        <v>454</v>
      </c>
    </row>
    <row r="810" spans="1:4" x14ac:dyDescent="0.35">
      <c r="A810" s="2" t="s">
        <v>134</v>
      </c>
      <c r="B810" s="2" t="s">
        <v>64</v>
      </c>
      <c r="C810" s="4">
        <v>60.5</v>
      </c>
      <c r="D810">
        <v>615</v>
      </c>
    </row>
    <row r="811" spans="1:4" x14ac:dyDescent="0.35">
      <c r="A811" s="2" t="s">
        <v>135</v>
      </c>
      <c r="B811" s="2" t="s">
        <v>64</v>
      </c>
      <c r="C811" s="4">
        <v>63.8</v>
      </c>
      <c r="D811">
        <v>704</v>
      </c>
    </row>
    <row r="812" spans="1:4" x14ac:dyDescent="0.35">
      <c r="A812" s="2" t="s">
        <v>136</v>
      </c>
      <c r="B812" s="2" t="s">
        <v>64</v>
      </c>
      <c r="C812" s="4">
        <v>62.7</v>
      </c>
      <c r="D812">
        <v>42</v>
      </c>
    </row>
    <row r="813" spans="1:4" x14ac:dyDescent="0.35">
      <c r="A813" s="2" t="s">
        <v>139</v>
      </c>
      <c r="B813" s="2" t="s">
        <v>64</v>
      </c>
      <c r="C813" s="4">
        <v>108.9</v>
      </c>
      <c r="D813">
        <v>45</v>
      </c>
    </row>
    <row r="814" spans="1:4" x14ac:dyDescent="0.35">
      <c r="A814" s="2" t="s">
        <v>155</v>
      </c>
      <c r="B814" s="2" t="s">
        <v>64</v>
      </c>
      <c r="C814" s="4">
        <v>44</v>
      </c>
      <c r="D814">
        <v>63</v>
      </c>
    </row>
    <row r="815" spans="1:4" x14ac:dyDescent="0.35">
      <c r="A815" s="2" t="s">
        <v>156</v>
      </c>
      <c r="B815" s="2" t="s">
        <v>64</v>
      </c>
      <c r="C815" s="4">
        <v>47.3</v>
      </c>
      <c r="D815">
        <v>63</v>
      </c>
    </row>
    <row r="816" spans="1:4" x14ac:dyDescent="0.35">
      <c r="A816" s="2" t="s">
        <v>161</v>
      </c>
      <c r="B816" s="2" t="s">
        <v>64</v>
      </c>
      <c r="C816" s="4">
        <v>71.5</v>
      </c>
      <c r="D816">
        <v>73</v>
      </c>
    </row>
    <row r="817" spans="1:4" x14ac:dyDescent="0.35">
      <c r="A817" s="2" t="s">
        <v>162</v>
      </c>
      <c r="B817" s="2" t="s">
        <v>64</v>
      </c>
      <c r="C817" s="4">
        <v>58.3</v>
      </c>
      <c r="D817">
        <v>83</v>
      </c>
    </row>
    <row r="818" spans="1:4" x14ac:dyDescent="0.35">
      <c r="A818" s="2" t="s">
        <v>163</v>
      </c>
      <c r="B818" s="2" t="s">
        <v>64</v>
      </c>
      <c r="C818" s="4">
        <v>71.5</v>
      </c>
      <c r="D818">
        <v>117</v>
      </c>
    </row>
    <row r="819" spans="1:4" x14ac:dyDescent="0.35">
      <c r="A819" s="2" t="s">
        <v>164</v>
      </c>
      <c r="B819" s="2" t="s">
        <v>64</v>
      </c>
      <c r="C819" s="4">
        <v>75.900000000000006</v>
      </c>
      <c r="D819">
        <v>134</v>
      </c>
    </row>
    <row r="820" spans="1:4" x14ac:dyDescent="0.35">
      <c r="A820" s="2" t="s">
        <v>165</v>
      </c>
      <c r="B820" s="2" t="s">
        <v>64</v>
      </c>
      <c r="C820" s="4">
        <v>73.7</v>
      </c>
      <c r="D820">
        <v>168</v>
      </c>
    </row>
    <row r="821" spans="1:4" x14ac:dyDescent="0.35">
      <c r="A821" s="2" t="s">
        <v>168</v>
      </c>
      <c r="B821" s="2" t="s">
        <v>64</v>
      </c>
      <c r="C821" s="4">
        <v>116.6</v>
      </c>
      <c r="D821">
        <v>54</v>
      </c>
    </row>
    <row r="822" spans="1:4" x14ac:dyDescent="0.35">
      <c r="A822" s="2" t="s">
        <v>184</v>
      </c>
      <c r="B822" s="2" t="s">
        <v>64</v>
      </c>
      <c r="C822" s="4">
        <v>50.6</v>
      </c>
      <c r="D822">
        <v>59</v>
      </c>
    </row>
    <row r="823" spans="1:4" x14ac:dyDescent="0.35">
      <c r="A823" s="2" t="s">
        <v>189</v>
      </c>
      <c r="B823" s="2" t="s">
        <v>64</v>
      </c>
      <c r="C823" s="4">
        <v>101.2</v>
      </c>
      <c r="D823">
        <v>82</v>
      </c>
    </row>
    <row r="824" spans="1:4" x14ac:dyDescent="0.35">
      <c r="A824" s="2" t="s">
        <v>190</v>
      </c>
      <c r="B824" s="2" t="s">
        <v>64</v>
      </c>
      <c r="C824" s="4">
        <v>82.5</v>
      </c>
      <c r="D824">
        <v>82</v>
      </c>
    </row>
    <row r="825" spans="1:4" x14ac:dyDescent="0.35">
      <c r="A825" s="2" t="s">
        <v>191</v>
      </c>
      <c r="B825" s="2" t="s">
        <v>64</v>
      </c>
      <c r="C825" s="4">
        <v>101.2</v>
      </c>
      <c r="D825">
        <v>95</v>
      </c>
    </row>
    <row r="826" spans="1:4" x14ac:dyDescent="0.35">
      <c r="A826" s="2" t="s">
        <v>192</v>
      </c>
      <c r="B826" s="2" t="s">
        <v>64</v>
      </c>
      <c r="C826" s="4">
        <v>107.8</v>
      </c>
      <c r="D826">
        <v>108</v>
      </c>
    </row>
    <row r="827" spans="1:4" x14ac:dyDescent="0.35">
      <c r="A827" s="2" t="s">
        <v>193</v>
      </c>
      <c r="B827" s="2" t="s">
        <v>64</v>
      </c>
      <c r="C827" s="4">
        <v>104.5</v>
      </c>
      <c r="D827">
        <v>152</v>
      </c>
    </row>
    <row r="828" spans="1:4" x14ac:dyDescent="0.35">
      <c r="A828" s="2" t="s">
        <v>196</v>
      </c>
      <c r="B828" s="2" t="s">
        <v>64</v>
      </c>
      <c r="C828" s="4">
        <v>132</v>
      </c>
      <c r="D828">
        <v>174</v>
      </c>
    </row>
    <row r="829" spans="1:4" x14ac:dyDescent="0.35">
      <c r="A829" s="2" t="s">
        <v>212</v>
      </c>
      <c r="B829" s="2" t="s">
        <v>64</v>
      </c>
      <c r="C829" s="4">
        <v>73.7</v>
      </c>
      <c r="D829">
        <v>218</v>
      </c>
    </row>
    <row r="830" spans="1:4" x14ac:dyDescent="0.35">
      <c r="A830" s="2" t="s">
        <v>217</v>
      </c>
      <c r="B830" s="2" t="s">
        <v>64</v>
      </c>
      <c r="C830" s="4">
        <v>144.1</v>
      </c>
      <c r="D830">
        <v>59</v>
      </c>
    </row>
    <row r="831" spans="1:4" x14ac:dyDescent="0.35">
      <c r="A831" s="2" t="s">
        <v>218</v>
      </c>
      <c r="B831" s="2" t="s">
        <v>64</v>
      </c>
      <c r="C831" s="4">
        <v>116.6</v>
      </c>
      <c r="D831">
        <v>63</v>
      </c>
    </row>
    <row r="832" spans="1:4" x14ac:dyDescent="0.35">
      <c r="A832" s="2" t="s">
        <v>219</v>
      </c>
      <c r="B832" s="2" t="s">
        <v>64</v>
      </c>
      <c r="C832" s="4">
        <v>144.1</v>
      </c>
      <c r="D832">
        <v>88</v>
      </c>
    </row>
    <row r="833" spans="1:4" x14ac:dyDescent="0.35">
      <c r="A833" s="2" t="s">
        <v>220</v>
      </c>
      <c r="B833" s="2" t="s">
        <v>64</v>
      </c>
      <c r="C833" s="4">
        <v>154</v>
      </c>
      <c r="D833">
        <v>88</v>
      </c>
    </row>
    <row r="834" spans="1:4" x14ac:dyDescent="0.35">
      <c r="A834" s="2" t="s">
        <v>221</v>
      </c>
      <c r="B834" s="2" t="s">
        <v>64</v>
      </c>
      <c r="C834" s="4">
        <v>149.6</v>
      </c>
      <c r="D834">
        <v>102</v>
      </c>
    </row>
    <row r="835" spans="1:4" x14ac:dyDescent="0.35">
      <c r="A835" s="2" t="s">
        <v>224</v>
      </c>
      <c r="B835" s="2" t="s">
        <v>64</v>
      </c>
      <c r="C835" s="4">
        <v>172.7</v>
      </c>
      <c r="D835">
        <v>117</v>
      </c>
    </row>
    <row r="836" spans="1:4" x14ac:dyDescent="0.35">
      <c r="A836" s="2" t="s">
        <v>240</v>
      </c>
      <c r="B836" s="2" t="s">
        <v>64</v>
      </c>
      <c r="C836" s="4">
        <v>105.6</v>
      </c>
      <c r="D836">
        <v>162</v>
      </c>
    </row>
    <row r="837" spans="1:4" x14ac:dyDescent="0.35">
      <c r="A837" s="2" t="s">
        <v>245</v>
      </c>
      <c r="B837" s="2" t="s">
        <v>64</v>
      </c>
      <c r="C837" s="4">
        <v>127.6</v>
      </c>
      <c r="D837">
        <v>188</v>
      </c>
    </row>
    <row r="838" spans="1:4" x14ac:dyDescent="0.35">
      <c r="A838" s="2" t="s">
        <v>246</v>
      </c>
      <c r="B838" s="2" t="s">
        <v>64</v>
      </c>
      <c r="C838" s="4">
        <v>166.1</v>
      </c>
      <c r="D838">
        <v>234</v>
      </c>
    </row>
    <row r="839" spans="1:4" x14ac:dyDescent="0.35">
      <c r="A839" s="2" t="s">
        <v>247</v>
      </c>
      <c r="B839" s="2" t="s">
        <v>64</v>
      </c>
      <c r="C839" s="4">
        <v>204.6</v>
      </c>
      <c r="D839">
        <v>158</v>
      </c>
    </row>
    <row r="840" spans="1:4" x14ac:dyDescent="0.35">
      <c r="A840" s="2" t="s">
        <v>248</v>
      </c>
      <c r="B840" s="2" t="s">
        <v>64</v>
      </c>
      <c r="C840" s="4">
        <v>218.9</v>
      </c>
      <c r="D840">
        <v>205</v>
      </c>
    </row>
    <row r="841" spans="1:4" x14ac:dyDescent="0.35">
      <c r="A841" s="2" t="s">
        <v>249</v>
      </c>
      <c r="B841" s="2" t="s">
        <v>64</v>
      </c>
      <c r="C841" s="4">
        <v>211.2</v>
      </c>
      <c r="D841">
        <v>4705</v>
      </c>
    </row>
    <row r="842" spans="1:4" x14ac:dyDescent="0.35">
      <c r="A842" s="2" t="s">
        <v>252</v>
      </c>
      <c r="B842" s="2" t="s">
        <v>64</v>
      </c>
      <c r="C842" s="4">
        <v>245.3</v>
      </c>
      <c r="D842">
        <v>270</v>
      </c>
    </row>
    <row r="843" spans="1:4" x14ac:dyDescent="0.35">
      <c r="A843" s="2" t="s">
        <v>268</v>
      </c>
      <c r="B843" s="2" t="s">
        <v>64</v>
      </c>
      <c r="C843" s="4">
        <v>116.6</v>
      </c>
      <c r="D843">
        <v>334</v>
      </c>
    </row>
    <row r="844" spans="1:4" x14ac:dyDescent="0.35">
      <c r="A844" s="2" t="s">
        <v>270</v>
      </c>
      <c r="B844" s="2" t="s">
        <v>64</v>
      </c>
      <c r="C844" s="4">
        <v>139.69999999999999</v>
      </c>
      <c r="D844">
        <v>409</v>
      </c>
    </row>
    <row r="845" spans="1:4" x14ac:dyDescent="0.35">
      <c r="A845" s="2" t="s">
        <v>290</v>
      </c>
      <c r="B845" s="2" t="s">
        <v>64</v>
      </c>
      <c r="C845" s="4">
        <v>133.1</v>
      </c>
      <c r="D845">
        <v>462</v>
      </c>
    </row>
    <row r="846" spans="1:4" x14ac:dyDescent="0.35">
      <c r="A846" s="2" t="s">
        <v>292</v>
      </c>
      <c r="B846" s="2" t="s">
        <v>64</v>
      </c>
      <c r="C846" s="4">
        <v>162.80000000000001</v>
      </c>
      <c r="D846">
        <v>664</v>
      </c>
    </row>
    <row r="847" spans="1:4" x14ac:dyDescent="0.35">
      <c r="A847" s="2" t="s">
        <v>297</v>
      </c>
      <c r="B847" s="2" t="s">
        <v>64</v>
      </c>
      <c r="C847" s="4">
        <v>240.9</v>
      </c>
      <c r="D847">
        <v>729</v>
      </c>
    </row>
    <row r="848" spans="1:4" x14ac:dyDescent="0.35">
      <c r="A848" s="2" t="s">
        <v>298</v>
      </c>
      <c r="B848" s="2" t="s">
        <v>64</v>
      </c>
      <c r="C848" s="4">
        <v>193.6</v>
      </c>
      <c r="D848">
        <v>857</v>
      </c>
    </row>
    <row r="849" spans="1:4" x14ac:dyDescent="0.35">
      <c r="A849" s="2" t="s">
        <v>299</v>
      </c>
      <c r="B849" s="2" t="s">
        <v>64</v>
      </c>
      <c r="C849" s="4">
        <v>240.9</v>
      </c>
      <c r="D849">
        <v>1249</v>
      </c>
    </row>
    <row r="850" spans="1:4" x14ac:dyDescent="0.35">
      <c r="A850" s="2" t="s">
        <v>300</v>
      </c>
      <c r="B850" s="2" t="s">
        <v>64</v>
      </c>
      <c r="C850" s="4">
        <v>256.3</v>
      </c>
      <c r="D850">
        <v>1664</v>
      </c>
    </row>
    <row r="851" spans="1:4" x14ac:dyDescent="0.35">
      <c r="A851" s="2" t="s">
        <v>301</v>
      </c>
      <c r="B851" s="2" t="s">
        <v>64</v>
      </c>
      <c r="C851" s="4">
        <v>248.6</v>
      </c>
      <c r="D851">
        <v>1985</v>
      </c>
    </row>
    <row r="852" spans="1:4" x14ac:dyDescent="0.35">
      <c r="A852" s="2" t="s">
        <v>304</v>
      </c>
      <c r="B852" s="2" t="s">
        <v>64</v>
      </c>
      <c r="C852" s="4">
        <v>287.10000000000002</v>
      </c>
      <c r="D852">
        <v>2859</v>
      </c>
    </row>
    <row r="853" spans="1:4" x14ac:dyDescent="0.35">
      <c r="A853" s="2" t="s">
        <v>367</v>
      </c>
      <c r="B853" s="2" t="s">
        <v>368</v>
      </c>
      <c r="C853" s="4">
        <v>8.8000000000000007</v>
      </c>
      <c r="D853">
        <v>3782</v>
      </c>
    </row>
    <row r="854" spans="1:4" x14ac:dyDescent="0.35">
      <c r="A854" s="2" t="s">
        <v>369</v>
      </c>
      <c r="B854" s="2" t="s">
        <v>370</v>
      </c>
      <c r="C854" s="4">
        <v>8.8000000000000007</v>
      </c>
      <c r="D854">
        <v>221</v>
      </c>
    </row>
    <row r="855" spans="1:4" x14ac:dyDescent="0.35">
      <c r="A855" s="2"/>
      <c r="B855" s="2"/>
      <c r="C855" s="4"/>
      <c r="D855">
        <v>287</v>
      </c>
    </row>
    <row r="856" spans="1:4" x14ac:dyDescent="0.35">
      <c r="A856" t="s">
        <v>969</v>
      </c>
      <c r="B856" t="s">
        <v>967</v>
      </c>
      <c r="D856">
        <v>6587</v>
      </c>
    </row>
    <row r="857" spans="1:4" x14ac:dyDescent="0.35">
      <c r="A857" t="s">
        <v>970</v>
      </c>
      <c r="B857" t="s">
        <v>967</v>
      </c>
      <c r="D857">
        <v>378</v>
      </c>
    </row>
    <row r="858" spans="1:4" x14ac:dyDescent="0.35">
      <c r="A858" t="s">
        <v>971</v>
      </c>
      <c r="B858" t="s">
        <v>967</v>
      </c>
      <c r="D858">
        <v>468</v>
      </c>
    </row>
    <row r="859" spans="1:4" x14ac:dyDescent="0.35">
      <c r="A859" t="s">
        <v>972</v>
      </c>
      <c r="B859" t="s">
        <v>967</v>
      </c>
      <c r="D859">
        <v>573</v>
      </c>
    </row>
    <row r="860" spans="1:4" x14ac:dyDescent="0.35">
      <c r="A860" t="s">
        <v>973</v>
      </c>
      <c r="B860" t="s">
        <v>967</v>
      </c>
      <c r="D860">
        <v>646</v>
      </c>
    </row>
    <row r="861" spans="1:4" x14ac:dyDescent="0.35">
      <c r="A861" t="s">
        <v>974</v>
      </c>
      <c r="B861" t="s">
        <v>967</v>
      </c>
      <c r="D861">
        <v>930</v>
      </c>
    </row>
    <row r="862" spans="1:4" x14ac:dyDescent="0.35">
      <c r="A862" t="s">
        <v>975</v>
      </c>
      <c r="B862" t="s">
        <v>967</v>
      </c>
      <c r="D862">
        <v>1021</v>
      </c>
    </row>
    <row r="863" spans="1:4" x14ac:dyDescent="0.35">
      <c r="A863" t="s">
        <v>976</v>
      </c>
      <c r="B863" t="s">
        <v>967</v>
      </c>
      <c r="D863">
        <v>1199</v>
      </c>
    </row>
    <row r="864" spans="1:4" x14ac:dyDescent="0.35">
      <c r="A864" t="s">
        <v>977</v>
      </c>
      <c r="B864" t="s">
        <v>967</v>
      </c>
      <c r="D864">
        <v>1749</v>
      </c>
    </row>
    <row r="865" spans="1:4" x14ac:dyDescent="0.35">
      <c r="A865" t="s">
        <v>978</v>
      </c>
      <c r="B865" t="s">
        <v>967</v>
      </c>
      <c r="D865">
        <v>2330</v>
      </c>
    </row>
    <row r="866" spans="1:4" x14ac:dyDescent="0.35">
      <c r="A866" t="s">
        <v>979</v>
      </c>
      <c r="B866" t="s">
        <v>967</v>
      </c>
      <c r="D866">
        <v>2779</v>
      </c>
    </row>
    <row r="867" spans="1:4" x14ac:dyDescent="0.35">
      <c r="A867" t="s">
        <v>980</v>
      </c>
      <c r="B867" t="s">
        <v>967</v>
      </c>
      <c r="D867">
        <v>4003</v>
      </c>
    </row>
    <row r="868" spans="1:4" x14ac:dyDescent="0.35">
      <c r="A868" t="s">
        <v>981</v>
      </c>
      <c r="B868" t="s">
        <v>967</v>
      </c>
      <c r="D868">
        <v>5294</v>
      </c>
    </row>
    <row r="869" spans="1:4" x14ac:dyDescent="0.35">
      <c r="A869" t="s">
        <v>982</v>
      </c>
      <c r="B869" t="s">
        <v>983</v>
      </c>
      <c r="D869">
        <v>221</v>
      </c>
    </row>
    <row r="870" spans="1:4" x14ac:dyDescent="0.35">
      <c r="A870" t="s">
        <v>984</v>
      </c>
      <c r="B870" t="s">
        <v>983</v>
      </c>
      <c r="D870">
        <v>287</v>
      </c>
    </row>
    <row r="871" spans="1:4" x14ac:dyDescent="0.35">
      <c r="A871" t="s">
        <v>985</v>
      </c>
      <c r="B871" t="s">
        <v>986</v>
      </c>
      <c r="D871">
        <v>6587</v>
      </c>
    </row>
    <row r="872" spans="1:4" x14ac:dyDescent="0.35">
      <c r="A872" t="s">
        <v>987</v>
      </c>
      <c r="B872" t="s">
        <v>983</v>
      </c>
      <c r="D872">
        <v>378</v>
      </c>
    </row>
    <row r="873" spans="1:4" x14ac:dyDescent="0.35">
      <c r="A873" t="s">
        <v>988</v>
      </c>
      <c r="B873" t="s">
        <v>983</v>
      </c>
      <c r="D873">
        <v>468</v>
      </c>
    </row>
    <row r="874" spans="1:4" x14ac:dyDescent="0.35">
      <c r="A874" t="s">
        <v>989</v>
      </c>
      <c r="B874" t="s">
        <v>983</v>
      </c>
      <c r="D874">
        <v>573</v>
      </c>
    </row>
    <row r="875" spans="1:4" x14ac:dyDescent="0.35">
      <c r="A875" t="s">
        <v>990</v>
      </c>
      <c r="B875" t="s">
        <v>983</v>
      </c>
      <c r="D875">
        <v>646</v>
      </c>
    </row>
    <row r="876" spans="1:4" x14ac:dyDescent="0.35">
      <c r="A876" t="s">
        <v>991</v>
      </c>
      <c r="B876" t="s">
        <v>983</v>
      </c>
      <c r="D876">
        <v>930</v>
      </c>
    </row>
    <row r="877" spans="1:4" x14ac:dyDescent="0.35">
      <c r="A877" t="s">
        <v>992</v>
      </c>
      <c r="B877" t="s">
        <v>983</v>
      </c>
      <c r="D877">
        <v>1021</v>
      </c>
    </row>
    <row r="878" spans="1:4" x14ac:dyDescent="0.35">
      <c r="A878" t="s">
        <v>993</v>
      </c>
      <c r="B878" t="s">
        <v>983</v>
      </c>
      <c r="D878">
        <v>1199</v>
      </c>
    </row>
    <row r="879" spans="1:4" x14ac:dyDescent="0.35">
      <c r="A879" t="s">
        <v>994</v>
      </c>
      <c r="B879" t="s">
        <v>983</v>
      </c>
      <c r="D879">
        <v>1749</v>
      </c>
    </row>
    <row r="880" spans="1:4" x14ac:dyDescent="0.35">
      <c r="A880" t="s">
        <v>995</v>
      </c>
      <c r="B880" t="s">
        <v>983</v>
      </c>
      <c r="D880">
        <v>2330</v>
      </c>
    </row>
    <row r="881" spans="1:4" x14ac:dyDescent="0.35">
      <c r="A881" t="s">
        <v>996</v>
      </c>
      <c r="B881" t="s">
        <v>983</v>
      </c>
      <c r="D881">
        <v>2779</v>
      </c>
    </row>
    <row r="882" spans="1:4" x14ac:dyDescent="0.35">
      <c r="A882" t="s">
        <v>997</v>
      </c>
      <c r="B882" t="s">
        <v>983</v>
      </c>
      <c r="D882">
        <v>4003</v>
      </c>
    </row>
    <row r="883" spans="1:4" x14ac:dyDescent="0.35">
      <c r="A883" t="s">
        <v>998</v>
      </c>
      <c r="B883" t="s">
        <v>983</v>
      </c>
      <c r="D883">
        <v>5294</v>
      </c>
    </row>
    <row r="884" spans="1:4" x14ac:dyDescent="0.35">
      <c r="A884" t="s">
        <v>999</v>
      </c>
      <c r="B884" t="s">
        <v>1000</v>
      </c>
      <c r="D884">
        <v>205</v>
      </c>
    </row>
    <row r="885" spans="1:4" x14ac:dyDescent="0.35">
      <c r="A885" t="s">
        <v>1001</v>
      </c>
      <c r="B885" t="s">
        <v>1000</v>
      </c>
      <c r="D885">
        <v>268</v>
      </c>
    </row>
    <row r="886" spans="1:4" x14ac:dyDescent="0.35">
      <c r="A886" t="s">
        <v>1002</v>
      </c>
      <c r="B886" t="s">
        <v>1000</v>
      </c>
      <c r="D886">
        <v>6118</v>
      </c>
    </row>
    <row r="887" spans="1:4" x14ac:dyDescent="0.35">
      <c r="A887" t="s">
        <v>1003</v>
      </c>
      <c r="B887" t="s">
        <v>1000</v>
      </c>
      <c r="D887">
        <v>352</v>
      </c>
    </row>
    <row r="888" spans="1:4" x14ac:dyDescent="0.35">
      <c r="A888" t="s">
        <v>1004</v>
      </c>
      <c r="B888" t="s">
        <v>1000</v>
      </c>
      <c r="D888">
        <v>435</v>
      </c>
    </row>
    <row r="889" spans="1:4" x14ac:dyDescent="0.35">
      <c r="A889" t="s">
        <v>1005</v>
      </c>
      <c r="B889" t="s">
        <v>1000</v>
      </c>
      <c r="D889">
        <v>533</v>
      </c>
    </row>
    <row r="890" spans="1:4" x14ac:dyDescent="0.35">
      <c r="A890" t="s">
        <v>1006</v>
      </c>
      <c r="B890" t="s">
        <v>1000</v>
      </c>
      <c r="D890">
        <v>600</v>
      </c>
    </row>
    <row r="891" spans="1:4" x14ac:dyDescent="0.35">
      <c r="A891" t="s">
        <v>1007</v>
      </c>
      <c r="B891" t="s">
        <v>1000</v>
      </c>
      <c r="D891">
        <v>864</v>
      </c>
    </row>
    <row r="892" spans="1:4" x14ac:dyDescent="0.35">
      <c r="A892" t="s">
        <v>1008</v>
      </c>
      <c r="B892" t="s">
        <v>1000</v>
      </c>
      <c r="D892">
        <v>948</v>
      </c>
    </row>
    <row r="893" spans="1:4" x14ac:dyDescent="0.35">
      <c r="A893" t="s">
        <v>1009</v>
      </c>
      <c r="B893" t="s">
        <v>1000</v>
      </c>
      <c r="D893">
        <v>1114</v>
      </c>
    </row>
    <row r="894" spans="1:4" x14ac:dyDescent="0.35">
      <c r="A894" t="s">
        <v>1010</v>
      </c>
      <c r="B894" t="s">
        <v>1000</v>
      </c>
      <c r="D894">
        <v>1624</v>
      </c>
    </row>
    <row r="895" spans="1:4" x14ac:dyDescent="0.35">
      <c r="A895" t="s">
        <v>1011</v>
      </c>
      <c r="B895" t="s">
        <v>1000</v>
      </c>
      <c r="D895">
        <v>2164</v>
      </c>
    </row>
    <row r="896" spans="1:4" x14ac:dyDescent="0.35">
      <c r="A896" t="s">
        <v>1012</v>
      </c>
      <c r="B896" t="s">
        <v>1000</v>
      </c>
      <c r="D896">
        <v>2582</v>
      </c>
    </row>
    <row r="897" spans="1:4" x14ac:dyDescent="0.35">
      <c r="A897" t="s">
        <v>1013</v>
      </c>
      <c r="B897" t="s">
        <v>1000</v>
      </c>
      <c r="D897">
        <v>3718</v>
      </c>
    </row>
    <row r="898" spans="1:4" x14ac:dyDescent="0.35">
      <c r="A898" t="s">
        <v>1014</v>
      </c>
      <c r="B898" t="s">
        <v>1000</v>
      </c>
      <c r="D898">
        <v>4917</v>
      </c>
    </row>
    <row r="899" spans="1:4" x14ac:dyDescent="0.35">
      <c r="A899" t="s">
        <v>1015</v>
      </c>
      <c r="B899" t="s">
        <v>1016</v>
      </c>
      <c r="D899">
        <v>892</v>
      </c>
    </row>
    <row r="900" spans="1:4" x14ac:dyDescent="0.35">
      <c r="A900" t="s">
        <v>1017</v>
      </c>
      <c r="B900" t="s">
        <v>1016</v>
      </c>
      <c r="D900">
        <v>1162</v>
      </c>
    </row>
    <row r="901" spans="1:4" x14ac:dyDescent="0.35">
      <c r="A901" t="s">
        <v>1018</v>
      </c>
      <c r="B901" t="s">
        <v>1016</v>
      </c>
      <c r="D901">
        <v>1425</v>
      </c>
    </row>
    <row r="902" spans="1:4" x14ac:dyDescent="0.35">
      <c r="A902" t="s">
        <v>1019</v>
      </c>
      <c r="B902" t="s">
        <v>1016</v>
      </c>
      <c r="D902">
        <v>62</v>
      </c>
    </row>
    <row r="903" spans="1:4" x14ac:dyDescent="0.35">
      <c r="A903" t="s">
        <v>1020</v>
      </c>
      <c r="B903" t="s">
        <v>1016</v>
      </c>
      <c r="D903">
        <v>1750</v>
      </c>
    </row>
    <row r="904" spans="1:4" x14ac:dyDescent="0.35">
      <c r="A904" t="s">
        <v>1021</v>
      </c>
      <c r="B904" t="s">
        <v>1016</v>
      </c>
      <c r="D904">
        <v>2000</v>
      </c>
    </row>
    <row r="905" spans="1:4" x14ac:dyDescent="0.35">
      <c r="A905" t="s">
        <v>1022</v>
      </c>
      <c r="B905" t="s">
        <v>1016</v>
      </c>
      <c r="D905">
        <v>75</v>
      </c>
    </row>
    <row r="906" spans="1:4" x14ac:dyDescent="0.35">
      <c r="A906" t="s">
        <v>1023</v>
      </c>
      <c r="B906" t="s">
        <v>1016</v>
      </c>
      <c r="D906">
        <v>2750</v>
      </c>
    </row>
    <row r="907" spans="1:4" x14ac:dyDescent="0.35">
      <c r="A907" t="s">
        <v>1024</v>
      </c>
      <c r="B907" t="s">
        <v>1016</v>
      </c>
      <c r="D907">
        <v>88</v>
      </c>
    </row>
    <row r="908" spans="1:4" x14ac:dyDescent="0.35">
      <c r="A908" t="s">
        <v>1025</v>
      </c>
      <c r="B908" t="s">
        <v>1016</v>
      </c>
      <c r="D908">
        <v>120</v>
      </c>
    </row>
    <row r="909" spans="1:4" x14ac:dyDescent="0.35">
      <c r="A909" t="s">
        <v>1026</v>
      </c>
      <c r="B909" t="s">
        <v>1016</v>
      </c>
      <c r="D909">
        <v>144</v>
      </c>
    </row>
    <row r="910" spans="1:4" x14ac:dyDescent="0.35">
      <c r="A910" t="s">
        <v>1027</v>
      </c>
      <c r="B910" t="s">
        <v>1016</v>
      </c>
      <c r="D910">
        <v>233</v>
      </c>
    </row>
    <row r="911" spans="1:4" x14ac:dyDescent="0.35">
      <c r="A911" t="s">
        <v>1028</v>
      </c>
      <c r="B911" t="s">
        <v>1016</v>
      </c>
      <c r="D911">
        <v>358</v>
      </c>
    </row>
    <row r="912" spans="1:4" x14ac:dyDescent="0.35">
      <c r="A912" t="s">
        <v>1029</v>
      </c>
      <c r="B912" t="s">
        <v>1016</v>
      </c>
      <c r="D912">
        <v>484</v>
      </c>
    </row>
    <row r="913" spans="1:4" x14ac:dyDescent="0.35">
      <c r="A913" t="s">
        <v>1030</v>
      </c>
      <c r="B913" t="s">
        <v>1016</v>
      </c>
      <c r="D913">
        <v>554</v>
      </c>
    </row>
    <row r="914" spans="1:4" x14ac:dyDescent="0.35">
      <c r="A914" t="s">
        <v>1031</v>
      </c>
      <c r="B914" t="s">
        <v>1032</v>
      </c>
      <c r="D914">
        <v>1070</v>
      </c>
    </row>
    <row r="915" spans="1:4" x14ac:dyDescent="0.35">
      <c r="A915" t="s">
        <v>1033</v>
      </c>
      <c r="B915" t="s">
        <v>1032</v>
      </c>
      <c r="D915">
        <v>1394</v>
      </c>
    </row>
    <row r="916" spans="1:4" x14ac:dyDescent="0.35">
      <c r="A916" t="s">
        <v>1034</v>
      </c>
      <c r="B916" t="s">
        <v>1032</v>
      </c>
      <c r="D916">
        <v>1710</v>
      </c>
    </row>
    <row r="917" spans="1:4" x14ac:dyDescent="0.35">
      <c r="A917" t="s">
        <v>1035</v>
      </c>
      <c r="B917" t="s">
        <v>1032</v>
      </c>
      <c r="D917">
        <v>74</v>
      </c>
    </row>
    <row r="918" spans="1:4" x14ac:dyDescent="0.35">
      <c r="A918" t="s">
        <v>1036</v>
      </c>
      <c r="B918" t="s">
        <v>1032</v>
      </c>
      <c r="D918">
        <v>2100</v>
      </c>
    </row>
    <row r="919" spans="1:4" x14ac:dyDescent="0.35">
      <c r="A919" t="s">
        <v>1037</v>
      </c>
      <c r="B919" t="s">
        <v>1032</v>
      </c>
      <c r="D919">
        <v>2400</v>
      </c>
    </row>
    <row r="920" spans="1:4" x14ac:dyDescent="0.35">
      <c r="A920" t="s">
        <v>1038</v>
      </c>
      <c r="B920" t="s">
        <v>1032</v>
      </c>
      <c r="D920">
        <v>90</v>
      </c>
    </row>
    <row r="921" spans="1:4" x14ac:dyDescent="0.35">
      <c r="A921" t="s">
        <v>1039</v>
      </c>
      <c r="B921" t="s">
        <v>1032</v>
      </c>
      <c r="D921">
        <v>3300</v>
      </c>
    </row>
    <row r="922" spans="1:4" x14ac:dyDescent="0.35">
      <c r="A922" t="s">
        <v>1040</v>
      </c>
      <c r="B922" t="s">
        <v>1032</v>
      </c>
      <c r="D922">
        <v>105</v>
      </c>
    </row>
    <row r="923" spans="1:4" x14ac:dyDescent="0.35">
      <c r="A923" t="s">
        <v>1041</v>
      </c>
      <c r="B923" t="s">
        <v>1032</v>
      </c>
      <c r="D923">
        <v>144</v>
      </c>
    </row>
    <row r="924" spans="1:4" x14ac:dyDescent="0.35">
      <c r="A924" t="s">
        <v>1042</v>
      </c>
      <c r="B924" t="s">
        <v>1032</v>
      </c>
      <c r="D924">
        <v>173</v>
      </c>
    </row>
    <row r="925" spans="1:4" x14ac:dyDescent="0.35">
      <c r="A925" t="s">
        <v>1043</v>
      </c>
      <c r="B925" t="s">
        <v>1032</v>
      </c>
      <c r="D925">
        <v>279</v>
      </c>
    </row>
    <row r="926" spans="1:4" x14ac:dyDescent="0.35">
      <c r="A926" t="s">
        <v>1044</v>
      </c>
      <c r="B926" t="s">
        <v>1032</v>
      </c>
      <c r="D926">
        <v>429</v>
      </c>
    </row>
    <row r="927" spans="1:4" x14ac:dyDescent="0.35">
      <c r="A927" t="s">
        <v>1045</v>
      </c>
      <c r="B927" t="s">
        <v>1032</v>
      </c>
      <c r="D927">
        <v>581</v>
      </c>
    </row>
    <row r="928" spans="1:4" x14ac:dyDescent="0.35">
      <c r="A928" t="s">
        <v>1046</v>
      </c>
      <c r="B928" t="s">
        <v>1032</v>
      </c>
      <c r="D928">
        <v>665</v>
      </c>
    </row>
    <row r="929" spans="1:4" x14ac:dyDescent="0.35">
      <c r="A929" t="s">
        <v>1047</v>
      </c>
      <c r="B929" t="s">
        <v>1048</v>
      </c>
      <c r="D929">
        <v>1177</v>
      </c>
    </row>
    <row r="930" spans="1:4" x14ac:dyDescent="0.35">
      <c r="A930" t="s">
        <v>1049</v>
      </c>
      <c r="B930" t="s">
        <v>1048</v>
      </c>
      <c r="D930">
        <v>1533</v>
      </c>
    </row>
    <row r="931" spans="1:4" x14ac:dyDescent="0.35">
      <c r="A931" t="s">
        <v>1050</v>
      </c>
      <c r="B931" t="s">
        <v>1048</v>
      </c>
      <c r="D931">
        <v>1881</v>
      </c>
    </row>
    <row r="932" spans="1:4" x14ac:dyDescent="0.35">
      <c r="A932" t="s">
        <v>1051</v>
      </c>
      <c r="B932" t="s">
        <v>1048</v>
      </c>
      <c r="D932">
        <v>81</v>
      </c>
    </row>
    <row r="933" spans="1:4" x14ac:dyDescent="0.35">
      <c r="A933" t="s">
        <v>1052</v>
      </c>
      <c r="B933" t="s">
        <v>1048</v>
      </c>
      <c r="D933">
        <v>2310</v>
      </c>
    </row>
    <row r="934" spans="1:4" x14ac:dyDescent="0.35">
      <c r="A934" t="s">
        <v>1053</v>
      </c>
      <c r="B934" t="s">
        <v>1048</v>
      </c>
      <c r="D934">
        <v>2640</v>
      </c>
    </row>
    <row r="935" spans="1:4" x14ac:dyDescent="0.35">
      <c r="A935" t="s">
        <v>1054</v>
      </c>
      <c r="B935" t="s">
        <v>1048</v>
      </c>
      <c r="D935">
        <v>99</v>
      </c>
    </row>
    <row r="936" spans="1:4" x14ac:dyDescent="0.35">
      <c r="A936" t="s">
        <v>1055</v>
      </c>
      <c r="B936" t="s">
        <v>1048</v>
      </c>
      <c r="D936">
        <v>3630</v>
      </c>
    </row>
    <row r="937" spans="1:4" x14ac:dyDescent="0.35">
      <c r="A937" t="s">
        <v>1056</v>
      </c>
      <c r="B937" t="s">
        <v>1048</v>
      </c>
      <c r="D937">
        <v>116</v>
      </c>
    </row>
    <row r="938" spans="1:4" x14ac:dyDescent="0.35">
      <c r="A938" t="s">
        <v>1057</v>
      </c>
      <c r="B938" t="s">
        <v>1048</v>
      </c>
      <c r="D938">
        <v>159</v>
      </c>
    </row>
    <row r="939" spans="1:4" x14ac:dyDescent="0.35">
      <c r="A939" t="s">
        <v>1058</v>
      </c>
      <c r="B939" t="s">
        <v>1048</v>
      </c>
      <c r="D939">
        <v>190</v>
      </c>
    </row>
    <row r="940" spans="1:4" x14ac:dyDescent="0.35">
      <c r="A940" t="s">
        <v>1059</v>
      </c>
      <c r="B940" t="s">
        <v>1048</v>
      </c>
      <c r="D940">
        <v>307</v>
      </c>
    </row>
    <row r="941" spans="1:4" x14ac:dyDescent="0.35">
      <c r="A941" t="s">
        <v>1060</v>
      </c>
      <c r="B941" t="s">
        <v>1048</v>
      </c>
      <c r="D941">
        <v>472</v>
      </c>
    </row>
    <row r="942" spans="1:4" x14ac:dyDescent="0.35">
      <c r="A942" t="s">
        <v>1061</v>
      </c>
      <c r="B942" t="s">
        <v>1048</v>
      </c>
      <c r="D942">
        <v>639</v>
      </c>
    </row>
    <row r="943" spans="1:4" x14ac:dyDescent="0.35">
      <c r="A943" t="s">
        <v>1062</v>
      </c>
      <c r="B943" t="s">
        <v>1048</v>
      </c>
      <c r="D943">
        <v>731</v>
      </c>
    </row>
    <row r="944" spans="1:4" x14ac:dyDescent="0.35">
      <c r="A944" t="s">
        <v>1063</v>
      </c>
      <c r="B944" t="s">
        <v>1064</v>
      </c>
      <c r="D944">
        <v>892</v>
      </c>
    </row>
    <row r="945" spans="1:4" x14ac:dyDescent="0.35">
      <c r="A945" t="s">
        <v>1065</v>
      </c>
      <c r="B945" t="s">
        <v>1064</v>
      </c>
      <c r="D945">
        <v>1162</v>
      </c>
    </row>
    <row r="946" spans="1:4" x14ac:dyDescent="0.35">
      <c r="A946" t="s">
        <v>1066</v>
      </c>
      <c r="B946" t="s">
        <v>1064</v>
      </c>
      <c r="D946">
        <v>1425</v>
      </c>
    </row>
    <row r="947" spans="1:4" x14ac:dyDescent="0.35">
      <c r="A947" t="s">
        <v>1067</v>
      </c>
      <c r="B947" t="s">
        <v>1064</v>
      </c>
      <c r="D947">
        <v>62</v>
      </c>
    </row>
    <row r="948" spans="1:4" x14ac:dyDescent="0.35">
      <c r="A948" t="s">
        <v>1068</v>
      </c>
      <c r="B948" t="s">
        <v>1069</v>
      </c>
      <c r="D948">
        <v>1750</v>
      </c>
    </row>
    <row r="949" spans="1:4" x14ac:dyDescent="0.35">
      <c r="A949" t="s">
        <v>1070</v>
      </c>
      <c r="B949" t="s">
        <v>1064</v>
      </c>
      <c r="D949">
        <v>2000</v>
      </c>
    </row>
    <row r="950" spans="1:4" x14ac:dyDescent="0.35">
      <c r="A950" t="s">
        <v>1071</v>
      </c>
      <c r="B950" t="s">
        <v>1064</v>
      </c>
      <c r="D950">
        <v>75</v>
      </c>
    </row>
    <row r="951" spans="1:4" x14ac:dyDescent="0.35">
      <c r="A951" t="s">
        <v>1072</v>
      </c>
      <c r="B951" t="s">
        <v>1064</v>
      </c>
      <c r="D951">
        <v>2750</v>
      </c>
    </row>
    <row r="952" spans="1:4" x14ac:dyDescent="0.35">
      <c r="A952" t="s">
        <v>1073</v>
      </c>
      <c r="B952" t="s">
        <v>1064</v>
      </c>
      <c r="D952">
        <v>88</v>
      </c>
    </row>
    <row r="953" spans="1:4" x14ac:dyDescent="0.35">
      <c r="A953" t="s">
        <v>1074</v>
      </c>
      <c r="B953" t="s">
        <v>1064</v>
      </c>
      <c r="D953">
        <v>120</v>
      </c>
    </row>
    <row r="954" spans="1:4" x14ac:dyDescent="0.35">
      <c r="A954" t="s">
        <v>1075</v>
      </c>
      <c r="B954" t="s">
        <v>1064</v>
      </c>
      <c r="D954">
        <v>144</v>
      </c>
    </row>
    <row r="955" spans="1:4" x14ac:dyDescent="0.35">
      <c r="A955" t="s">
        <v>1076</v>
      </c>
      <c r="B955" t="s">
        <v>1064</v>
      </c>
      <c r="D955">
        <v>233</v>
      </c>
    </row>
    <row r="956" spans="1:4" x14ac:dyDescent="0.35">
      <c r="A956" t="s">
        <v>1077</v>
      </c>
      <c r="B956" t="s">
        <v>1064</v>
      </c>
      <c r="D956">
        <v>358</v>
      </c>
    </row>
    <row r="957" spans="1:4" x14ac:dyDescent="0.35">
      <c r="A957" t="s">
        <v>1078</v>
      </c>
      <c r="B957" t="s">
        <v>1064</v>
      </c>
      <c r="D957">
        <v>484</v>
      </c>
    </row>
    <row r="958" spans="1:4" x14ac:dyDescent="0.35">
      <c r="A958" t="s">
        <v>1079</v>
      </c>
      <c r="B958" t="s">
        <v>1064</v>
      </c>
      <c r="D958">
        <v>554</v>
      </c>
    </row>
    <row r="959" spans="1:4" x14ac:dyDescent="0.35">
      <c r="A959" t="s">
        <v>1080</v>
      </c>
      <c r="B959" t="s">
        <v>1081</v>
      </c>
      <c r="D959">
        <v>1159</v>
      </c>
    </row>
    <row r="960" spans="1:4" x14ac:dyDescent="0.35">
      <c r="A960" t="s">
        <v>1082</v>
      </c>
      <c r="B960" t="s">
        <v>1081</v>
      </c>
      <c r="D960">
        <v>1510</v>
      </c>
    </row>
    <row r="961" spans="1:4" x14ac:dyDescent="0.35">
      <c r="A961" t="s">
        <v>1083</v>
      </c>
      <c r="B961" t="s">
        <v>1081</v>
      </c>
      <c r="D961">
        <v>1853</v>
      </c>
    </row>
    <row r="962" spans="1:4" x14ac:dyDescent="0.35">
      <c r="A962" t="s">
        <v>1084</v>
      </c>
      <c r="B962" t="s">
        <v>1081</v>
      </c>
      <c r="D962">
        <v>80</v>
      </c>
    </row>
    <row r="963" spans="1:4" x14ac:dyDescent="0.35">
      <c r="A963" t="s">
        <v>1085</v>
      </c>
      <c r="B963" t="s">
        <v>1081</v>
      </c>
      <c r="D963">
        <v>2275</v>
      </c>
    </row>
    <row r="964" spans="1:4" x14ac:dyDescent="0.35">
      <c r="A964" t="s">
        <v>1086</v>
      </c>
      <c r="B964" t="s">
        <v>1081</v>
      </c>
      <c r="D964">
        <v>2600</v>
      </c>
    </row>
    <row r="965" spans="1:4" x14ac:dyDescent="0.35">
      <c r="A965" t="s">
        <v>1087</v>
      </c>
      <c r="B965" t="s">
        <v>1081</v>
      </c>
      <c r="D965">
        <v>98</v>
      </c>
    </row>
    <row r="966" spans="1:4" x14ac:dyDescent="0.35">
      <c r="A966" t="s">
        <v>1088</v>
      </c>
      <c r="B966" t="s">
        <v>1081</v>
      </c>
      <c r="D966">
        <v>3575</v>
      </c>
    </row>
    <row r="967" spans="1:4" x14ac:dyDescent="0.35">
      <c r="A967" t="s">
        <v>1089</v>
      </c>
      <c r="B967" t="s">
        <v>1081</v>
      </c>
      <c r="D967">
        <v>114</v>
      </c>
    </row>
    <row r="968" spans="1:4" x14ac:dyDescent="0.35">
      <c r="A968" t="s">
        <v>1090</v>
      </c>
      <c r="B968" t="s">
        <v>1081</v>
      </c>
      <c r="D968">
        <v>157</v>
      </c>
    </row>
    <row r="969" spans="1:4" x14ac:dyDescent="0.35">
      <c r="A969" t="s">
        <v>1091</v>
      </c>
      <c r="B969" t="s">
        <v>1081</v>
      </c>
      <c r="D969">
        <v>188</v>
      </c>
    </row>
    <row r="970" spans="1:4" x14ac:dyDescent="0.35">
      <c r="A970" t="s">
        <v>1092</v>
      </c>
      <c r="B970" t="s">
        <v>1081</v>
      </c>
      <c r="D970">
        <v>303</v>
      </c>
    </row>
    <row r="971" spans="1:4" x14ac:dyDescent="0.35">
      <c r="A971" t="s">
        <v>1093</v>
      </c>
      <c r="B971" t="s">
        <v>1081</v>
      </c>
      <c r="D971">
        <v>465</v>
      </c>
    </row>
    <row r="972" spans="1:4" x14ac:dyDescent="0.35">
      <c r="A972" t="s">
        <v>1094</v>
      </c>
      <c r="B972" t="s">
        <v>1081</v>
      </c>
      <c r="D972">
        <v>630</v>
      </c>
    </row>
    <row r="973" spans="1:4" x14ac:dyDescent="0.35">
      <c r="A973" t="s">
        <v>1095</v>
      </c>
      <c r="B973" t="s">
        <v>1081</v>
      </c>
      <c r="D973">
        <v>720</v>
      </c>
    </row>
    <row r="974" spans="1:4" x14ac:dyDescent="0.35">
      <c r="A974" t="s">
        <v>1096</v>
      </c>
      <c r="B974" t="s">
        <v>1097</v>
      </c>
      <c r="D974">
        <v>47</v>
      </c>
    </row>
    <row r="975" spans="1:4" x14ac:dyDescent="0.35">
      <c r="A975" t="s">
        <v>1098</v>
      </c>
      <c r="B975" t="s">
        <v>1097</v>
      </c>
      <c r="D975">
        <v>50</v>
      </c>
    </row>
    <row r="976" spans="1:4" x14ac:dyDescent="0.35">
      <c r="A976" t="s">
        <v>1099</v>
      </c>
      <c r="B976" t="s">
        <v>1097</v>
      </c>
      <c r="D976">
        <v>1788</v>
      </c>
    </row>
    <row r="977" spans="1:4" x14ac:dyDescent="0.35">
      <c r="A977" t="s">
        <v>1100</v>
      </c>
      <c r="B977" t="s">
        <v>1097</v>
      </c>
      <c r="D977">
        <v>69</v>
      </c>
    </row>
    <row r="978" spans="1:4" x14ac:dyDescent="0.35">
      <c r="A978" t="s">
        <v>1101</v>
      </c>
      <c r="B978" t="s">
        <v>1097</v>
      </c>
      <c r="D978">
        <v>69</v>
      </c>
    </row>
    <row r="979" spans="1:4" x14ac:dyDescent="0.35">
      <c r="A979" t="s">
        <v>1102</v>
      </c>
      <c r="B979" t="s">
        <v>1097</v>
      </c>
      <c r="D979">
        <v>80</v>
      </c>
    </row>
    <row r="980" spans="1:4" x14ac:dyDescent="0.35">
      <c r="A980" t="s">
        <v>1103</v>
      </c>
      <c r="B980" t="s">
        <v>1097</v>
      </c>
      <c r="D980">
        <v>92</v>
      </c>
    </row>
    <row r="981" spans="1:4" x14ac:dyDescent="0.35">
      <c r="A981" t="s">
        <v>1104</v>
      </c>
      <c r="B981" t="s">
        <v>1097</v>
      </c>
      <c r="D981">
        <v>129</v>
      </c>
    </row>
    <row r="982" spans="1:4" x14ac:dyDescent="0.35">
      <c r="A982" t="s">
        <v>1105</v>
      </c>
      <c r="B982" t="s">
        <v>1097</v>
      </c>
      <c r="D982">
        <v>148</v>
      </c>
    </row>
    <row r="983" spans="1:4" x14ac:dyDescent="0.35">
      <c r="A983" t="s">
        <v>1106</v>
      </c>
      <c r="B983" t="s">
        <v>1097</v>
      </c>
      <c r="D983">
        <v>185</v>
      </c>
    </row>
    <row r="984" spans="1:4" x14ac:dyDescent="0.35">
      <c r="A984" t="s">
        <v>1107</v>
      </c>
      <c r="B984" t="s">
        <v>1097</v>
      </c>
      <c r="D984">
        <v>220</v>
      </c>
    </row>
    <row r="985" spans="1:4" x14ac:dyDescent="0.35">
      <c r="A985" t="s">
        <v>1108</v>
      </c>
      <c r="B985" t="s">
        <v>1097</v>
      </c>
      <c r="D985">
        <v>275</v>
      </c>
    </row>
    <row r="986" spans="1:4" x14ac:dyDescent="0.35">
      <c r="A986" t="s">
        <v>1109</v>
      </c>
      <c r="B986" t="s">
        <v>1097</v>
      </c>
      <c r="D986">
        <v>413</v>
      </c>
    </row>
    <row r="987" spans="1:4" x14ac:dyDescent="0.35">
      <c r="A987" t="s">
        <v>1110</v>
      </c>
      <c r="B987" t="s">
        <v>1097</v>
      </c>
      <c r="D987">
        <v>825</v>
      </c>
    </row>
    <row r="988" spans="1:4" x14ac:dyDescent="0.35">
      <c r="A988" t="s">
        <v>1111</v>
      </c>
      <c r="B988" t="s">
        <v>1097</v>
      </c>
      <c r="D988">
        <v>1238</v>
      </c>
    </row>
    <row r="989" spans="1:4" x14ac:dyDescent="0.35">
      <c r="A989" t="s">
        <v>1112</v>
      </c>
      <c r="B989" t="s">
        <v>1113</v>
      </c>
      <c r="D989">
        <v>65</v>
      </c>
    </row>
    <row r="990" spans="1:4" x14ac:dyDescent="0.35">
      <c r="A990" t="s">
        <v>1114</v>
      </c>
      <c r="B990" t="s">
        <v>1113</v>
      </c>
      <c r="D990">
        <v>70</v>
      </c>
    </row>
    <row r="991" spans="1:4" x14ac:dyDescent="0.35">
      <c r="A991" t="s">
        <v>1115</v>
      </c>
      <c r="B991" t="s">
        <v>1113</v>
      </c>
      <c r="D991">
        <v>2503</v>
      </c>
    </row>
    <row r="992" spans="1:4" x14ac:dyDescent="0.35">
      <c r="A992" t="s">
        <v>1116</v>
      </c>
      <c r="B992" t="s">
        <v>1113</v>
      </c>
      <c r="D992">
        <v>97</v>
      </c>
    </row>
    <row r="993" spans="1:4" x14ac:dyDescent="0.35">
      <c r="A993" t="s">
        <v>1117</v>
      </c>
      <c r="B993" t="s">
        <v>1113</v>
      </c>
      <c r="D993">
        <v>97</v>
      </c>
    </row>
    <row r="994" spans="1:4" x14ac:dyDescent="0.35">
      <c r="A994" t="s">
        <v>1118</v>
      </c>
      <c r="B994" t="s">
        <v>1113</v>
      </c>
      <c r="D994">
        <v>112</v>
      </c>
    </row>
    <row r="995" spans="1:4" x14ac:dyDescent="0.35">
      <c r="A995" t="s">
        <v>1119</v>
      </c>
      <c r="B995" t="s">
        <v>1113</v>
      </c>
      <c r="D995">
        <v>128</v>
      </c>
    </row>
    <row r="996" spans="1:4" x14ac:dyDescent="0.35">
      <c r="A996" t="s">
        <v>1120</v>
      </c>
      <c r="B996" t="s">
        <v>1113</v>
      </c>
      <c r="D996">
        <v>181</v>
      </c>
    </row>
    <row r="997" spans="1:4" x14ac:dyDescent="0.35">
      <c r="A997" t="s">
        <v>1121</v>
      </c>
      <c r="B997" t="s">
        <v>1113</v>
      </c>
      <c r="D997">
        <v>207</v>
      </c>
    </row>
    <row r="998" spans="1:4" x14ac:dyDescent="0.35">
      <c r="A998" t="s">
        <v>1122</v>
      </c>
      <c r="B998" t="s">
        <v>1113</v>
      </c>
      <c r="D998">
        <v>259</v>
      </c>
    </row>
    <row r="999" spans="1:4" x14ac:dyDescent="0.35">
      <c r="A999" t="s">
        <v>1123</v>
      </c>
      <c r="B999" t="s">
        <v>1113</v>
      </c>
      <c r="D999">
        <v>308</v>
      </c>
    </row>
    <row r="1000" spans="1:4" x14ac:dyDescent="0.35">
      <c r="A1000" t="s">
        <v>1124</v>
      </c>
      <c r="B1000" t="s">
        <v>1113</v>
      </c>
      <c r="D1000">
        <v>385</v>
      </c>
    </row>
    <row r="1001" spans="1:4" x14ac:dyDescent="0.35">
      <c r="A1001" t="s">
        <v>1125</v>
      </c>
      <c r="B1001" t="s">
        <v>1113</v>
      </c>
      <c r="D1001">
        <v>578</v>
      </c>
    </row>
    <row r="1002" spans="1:4" x14ac:dyDescent="0.35">
      <c r="A1002" t="s">
        <v>1126</v>
      </c>
      <c r="B1002" t="s">
        <v>1113</v>
      </c>
      <c r="D1002">
        <v>1155</v>
      </c>
    </row>
    <row r="1003" spans="1:4" x14ac:dyDescent="0.35">
      <c r="A1003" t="s">
        <v>1127</v>
      </c>
      <c r="B1003" t="s">
        <v>1113</v>
      </c>
      <c r="D1003">
        <v>1733</v>
      </c>
    </row>
    <row r="1004" spans="1:4" x14ac:dyDescent="0.35">
      <c r="A1004" t="s">
        <v>1128</v>
      </c>
      <c r="B1004" t="s">
        <v>1129</v>
      </c>
      <c r="D1004">
        <v>51</v>
      </c>
    </row>
    <row r="1005" spans="1:4" x14ac:dyDescent="0.35">
      <c r="A1005" t="s">
        <v>1130</v>
      </c>
      <c r="B1005" t="s">
        <v>1129</v>
      </c>
      <c r="D1005">
        <v>55</v>
      </c>
    </row>
    <row r="1006" spans="1:4" x14ac:dyDescent="0.35">
      <c r="A1006" t="s">
        <v>1131</v>
      </c>
      <c r="B1006" t="s">
        <v>1132</v>
      </c>
      <c r="D1006">
        <v>1967</v>
      </c>
    </row>
    <row r="1007" spans="1:4" x14ac:dyDescent="0.35">
      <c r="A1007" t="s">
        <v>1133</v>
      </c>
      <c r="B1007" t="s">
        <v>1129</v>
      </c>
      <c r="D1007">
        <v>76</v>
      </c>
    </row>
    <row r="1008" spans="1:4" x14ac:dyDescent="0.35">
      <c r="A1008" t="s">
        <v>1134</v>
      </c>
      <c r="B1008" t="s">
        <v>1129</v>
      </c>
      <c r="D1008">
        <v>76</v>
      </c>
    </row>
    <row r="1009" spans="1:4" x14ac:dyDescent="0.35">
      <c r="A1009" t="s">
        <v>1135</v>
      </c>
      <c r="B1009" t="s">
        <v>1129</v>
      </c>
      <c r="D1009">
        <v>88</v>
      </c>
    </row>
    <row r="1010" spans="1:4" x14ac:dyDescent="0.35">
      <c r="A1010" t="s">
        <v>1136</v>
      </c>
      <c r="B1010" t="s">
        <v>1129</v>
      </c>
      <c r="D1010">
        <v>101</v>
      </c>
    </row>
    <row r="1011" spans="1:4" x14ac:dyDescent="0.35">
      <c r="A1011" t="s">
        <v>1137</v>
      </c>
      <c r="B1011" t="s">
        <v>1129</v>
      </c>
      <c r="D1011">
        <v>142</v>
      </c>
    </row>
    <row r="1012" spans="1:4" x14ac:dyDescent="0.35">
      <c r="A1012" t="s">
        <v>1138</v>
      </c>
      <c r="B1012" t="s">
        <v>1129</v>
      </c>
      <c r="D1012">
        <v>163</v>
      </c>
    </row>
    <row r="1013" spans="1:4" x14ac:dyDescent="0.35">
      <c r="A1013" t="s">
        <v>1139</v>
      </c>
      <c r="B1013" t="s">
        <v>1129</v>
      </c>
      <c r="D1013">
        <v>204</v>
      </c>
    </row>
    <row r="1014" spans="1:4" x14ac:dyDescent="0.35">
      <c r="A1014" t="s">
        <v>1140</v>
      </c>
      <c r="B1014" t="s">
        <v>1129</v>
      </c>
      <c r="D1014">
        <v>242</v>
      </c>
    </row>
    <row r="1015" spans="1:4" x14ac:dyDescent="0.35">
      <c r="A1015" t="s">
        <v>1141</v>
      </c>
      <c r="B1015" t="s">
        <v>1129</v>
      </c>
      <c r="D1015">
        <v>303</v>
      </c>
    </row>
    <row r="1016" spans="1:4" x14ac:dyDescent="0.35">
      <c r="A1016" t="s">
        <v>1142</v>
      </c>
      <c r="B1016" t="s">
        <v>1129</v>
      </c>
      <c r="D1016">
        <v>454</v>
      </c>
    </row>
    <row r="1017" spans="1:4" x14ac:dyDescent="0.35">
      <c r="A1017" t="s">
        <v>1143</v>
      </c>
      <c r="B1017" t="s">
        <v>1129</v>
      </c>
      <c r="D1017">
        <v>908</v>
      </c>
    </row>
    <row r="1018" spans="1:4" x14ac:dyDescent="0.35">
      <c r="A1018" t="s">
        <v>1144</v>
      </c>
      <c r="B1018" t="s">
        <v>1129</v>
      </c>
      <c r="D1018">
        <v>1362</v>
      </c>
    </row>
    <row r="1019" spans="1:4" x14ac:dyDescent="0.35">
      <c r="A1019" t="s">
        <v>1145</v>
      </c>
      <c r="B1019" t="s">
        <v>1146</v>
      </c>
      <c r="D1019">
        <v>62</v>
      </c>
    </row>
    <row r="1020" spans="1:4" x14ac:dyDescent="0.35">
      <c r="A1020" t="s">
        <v>1147</v>
      </c>
      <c r="B1020" t="s">
        <v>1146</v>
      </c>
      <c r="D1020">
        <v>65</v>
      </c>
    </row>
    <row r="1021" spans="1:4" x14ac:dyDescent="0.35">
      <c r="A1021" t="s">
        <v>1148</v>
      </c>
      <c r="B1021" t="s">
        <v>1146</v>
      </c>
      <c r="D1021">
        <v>2324</v>
      </c>
    </row>
    <row r="1022" spans="1:4" x14ac:dyDescent="0.35">
      <c r="A1022" t="s">
        <v>1149</v>
      </c>
      <c r="B1022" t="s">
        <v>1146</v>
      </c>
      <c r="D1022">
        <v>90</v>
      </c>
    </row>
    <row r="1023" spans="1:4" x14ac:dyDescent="0.35">
      <c r="A1023" t="s">
        <v>1150</v>
      </c>
      <c r="B1023" t="s">
        <v>1146</v>
      </c>
      <c r="D1023">
        <v>90</v>
      </c>
    </row>
    <row r="1024" spans="1:4" x14ac:dyDescent="0.35">
      <c r="A1024" t="s">
        <v>1151</v>
      </c>
      <c r="B1024" t="s">
        <v>1146</v>
      </c>
      <c r="D1024">
        <v>105</v>
      </c>
    </row>
    <row r="1025" spans="1:4" x14ac:dyDescent="0.35">
      <c r="A1025" t="s">
        <v>1152</v>
      </c>
      <c r="B1025" t="s">
        <v>1146</v>
      </c>
      <c r="D1025">
        <v>119</v>
      </c>
    </row>
    <row r="1026" spans="1:4" x14ac:dyDescent="0.35">
      <c r="A1026" t="s">
        <v>1153</v>
      </c>
      <c r="B1026" t="s">
        <v>1146</v>
      </c>
      <c r="D1026">
        <v>168</v>
      </c>
    </row>
    <row r="1027" spans="1:4" x14ac:dyDescent="0.35">
      <c r="A1027" t="s">
        <v>1154</v>
      </c>
      <c r="B1027" t="s">
        <v>1146</v>
      </c>
      <c r="D1027">
        <v>193</v>
      </c>
    </row>
    <row r="1028" spans="1:4" x14ac:dyDescent="0.35">
      <c r="A1028" t="s">
        <v>1155</v>
      </c>
      <c r="B1028" t="s">
        <v>1146</v>
      </c>
      <c r="D1028">
        <v>242</v>
      </c>
    </row>
    <row r="1029" spans="1:4" x14ac:dyDescent="0.35">
      <c r="A1029" t="s">
        <v>1156</v>
      </c>
      <c r="B1029" t="s">
        <v>1146</v>
      </c>
      <c r="D1029">
        <v>287</v>
      </c>
    </row>
    <row r="1030" spans="1:4" x14ac:dyDescent="0.35">
      <c r="A1030" t="s">
        <v>1157</v>
      </c>
      <c r="B1030" t="s">
        <v>1146</v>
      </c>
      <c r="D1030">
        <v>358</v>
      </c>
    </row>
    <row r="1031" spans="1:4" x14ac:dyDescent="0.35">
      <c r="A1031" t="s">
        <v>1158</v>
      </c>
      <c r="B1031" t="s">
        <v>1146</v>
      </c>
      <c r="D1031">
        <v>537</v>
      </c>
    </row>
    <row r="1032" spans="1:4" x14ac:dyDescent="0.35">
      <c r="A1032" t="s">
        <v>1159</v>
      </c>
      <c r="B1032" t="s">
        <v>1146</v>
      </c>
      <c r="D1032">
        <v>1073</v>
      </c>
    </row>
    <row r="1033" spans="1:4" x14ac:dyDescent="0.35">
      <c r="A1033" t="s">
        <v>1160</v>
      </c>
      <c r="B1033" t="s">
        <v>1146</v>
      </c>
      <c r="D1033">
        <v>1609</v>
      </c>
    </row>
    <row r="1034" spans="1:4" x14ac:dyDescent="0.35">
      <c r="A1034" t="s">
        <v>1161</v>
      </c>
      <c r="B1034" t="s">
        <v>1162</v>
      </c>
      <c r="D1034">
        <v>305</v>
      </c>
    </row>
    <row r="1035" spans="1:4" x14ac:dyDescent="0.35">
      <c r="A1035" t="s">
        <v>1163</v>
      </c>
      <c r="B1035" t="s">
        <v>1164</v>
      </c>
      <c r="D1035">
        <v>318</v>
      </c>
    </row>
    <row r="1036" spans="1:4" x14ac:dyDescent="0.35">
      <c r="A1036" t="s">
        <v>1165</v>
      </c>
      <c r="B1036" t="s">
        <v>1166</v>
      </c>
      <c r="D1036">
        <v>324</v>
      </c>
    </row>
    <row r="1037" spans="1:4" x14ac:dyDescent="0.35">
      <c r="A1037" t="s">
        <v>1167</v>
      </c>
      <c r="B1037" t="s">
        <v>1168</v>
      </c>
      <c r="D1037">
        <v>329</v>
      </c>
    </row>
    <row r="1038" spans="1:4" x14ac:dyDescent="0.35">
      <c r="A1038" t="s">
        <v>1169</v>
      </c>
      <c r="B1038" t="s">
        <v>1170</v>
      </c>
      <c r="D1038">
        <v>335</v>
      </c>
    </row>
    <row r="1039" spans="1:4" x14ac:dyDescent="0.35">
      <c r="A1039" t="s">
        <v>1171</v>
      </c>
      <c r="B1039" t="s">
        <v>1172</v>
      </c>
      <c r="D1039">
        <v>380</v>
      </c>
    </row>
    <row r="1040" spans="1:4" x14ac:dyDescent="0.35">
      <c r="A1040" t="s">
        <v>1173</v>
      </c>
      <c r="B1040" t="s">
        <v>1174</v>
      </c>
      <c r="D1040">
        <v>386</v>
      </c>
    </row>
    <row r="1041" spans="1:4" x14ac:dyDescent="0.35">
      <c r="A1041" t="s">
        <v>1175</v>
      </c>
      <c r="B1041" t="s">
        <v>1176</v>
      </c>
      <c r="D1041">
        <v>431</v>
      </c>
    </row>
    <row r="1042" spans="1:4" x14ac:dyDescent="0.35">
      <c r="A1042" t="s">
        <v>1177</v>
      </c>
      <c r="B1042" t="s">
        <v>1178</v>
      </c>
      <c r="D1042">
        <v>445</v>
      </c>
    </row>
    <row r="1043" spans="1:4" x14ac:dyDescent="0.35">
      <c r="A1043" t="s">
        <v>1179</v>
      </c>
      <c r="B1043" t="s">
        <v>1180</v>
      </c>
      <c r="D1043">
        <v>1024</v>
      </c>
    </row>
    <row r="1044" spans="1:4" x14ac:dyDescent="0.35">
      <c r="A1044" t="s">
        <v>1181</v>
      </c>
      <c r="B1044" t="s">
        <v>1182</v>
      </c>
      <c r="D1044">
        <v>1247</v>
      </c>
    </row>
    <row r="1045" spans="1:4" x14ac:dyDescent="0.35">
      <c r="A1045" t="s">
        <v>1183</v>
      </c>
      <c r="B1045" t="s">
        <v>1184</v>
      </c>
      <c r="C1045">
        <v>1.1000000000000001</v>
      </c>
    </row>
    <row r="1046" spans="1:4" x14ac:dyDescent="0.35">
      <c r="A1046" t="s">
        <v>1185</v>
      </c>
      <c r="B1046" t="s">
        <v>1184</v>
      </c>
      <c r="C1046">
        <v>1.1000000000000001</v>
      </c>
    </row>
    <row r="1047" spans="1:4" x14ac:dyDescent="0.35">
      <c r="A1047" t="s">
        <v>1186</v>
      </c>
      <c r="B1047" t="s">
        <v>1184</v>
      </c>
      <c r="C1047">
        <v>1.1000000000000001</v>
      </c>
    </row>
    <row r="1048" spans="1:4" x14ac:dyDescent="0.35">
      <c r="A1048" t="s">
        <v>1187</v>
      </c>
      <c r="B1048" t="s">
        <v>1184</v>
      </c>
      <c r="C1048">
        <v>1.1000000000000001</v>
      </c>
    </row>
    <row r="1049" spans="1:4" x14ac:dyDescent="0.35">
      <c r="A1049" t="s">
        <v>1188</v>
      </c>
      <c r="B1049" t="s">
        <v>1184</v>
      </c>
      <c r="C1049">
        <v>1.1000000000000001</v>
      </c>
    </row>
    <row r="1050" spans="1:4" x14ac:dyDescent="0.35">
      <c r="A1050" t="s">
        <v>1189</v>
      </c>
      <c r="B1050" t="s">
        <v>1184</v>
      </c>
      <c r="C1050">
        <v>1.1000000000000001</v>
      </c>
    </row>
    <row r="1051" spans="1:4" x14ac:dyDescent="0.35">
      <c r="A1051" t="s">
        <v>1190</v>
      </c>
      <c r="B1051" t="s">
        <v>1184</v>
      </c>
      <c r="C1051">
        <v>1.1000000000000001</v>
      </c>
    </row>
    <row r="1052" spans="1:4" x14ac:dyDescent="0.35">
      <c r="A1052" t="s">
        <v>1191</v>
      </c>
      <c r="B1052" t="s">
        <v>1184</v>
      </c>
      <c r="C1052">
        <v>1.1000000000000001</v>
      </c>
    </row>
    <row r="1053" spans="1:4" x14ac:dyDescent="0.35">
      <c r="A1053" t="s">
        <v>1192</v>
      </c>
      <c r="B1053" t="s">
        <v>1184</v>
      </c>
      <c r="C1053">
        <v>1.1000000000000001</v>
      </c>
    </row>
    <row r="1054" spans="1:4" x14ac:dyDescent="0.35">
      <c r="A1054" t="s">
        <v>1193</v>
      </c>
      <c r="B1054" t="s">
        <v>1184</v>
      </c>
      <c r="C1054">
        <v>1.1000000000000001</v>
      </c>
    </row>
    <row r="1055" spans="1:4" x14ac:dyDescent="0.35">
      <c r="A1055" t="s">
        <v>1194</v>
      </c>
      <c r="B1055" t="s">
        <v>1184</v>
      </c>
      <c r="C1055">
        <v>1.1000000000000001</v>
      </c>
    </row>
    <row r="1056" spans="1:4" x14ac:dyDescent="0.35">
      <c r="A1056" t="s">
        <v>1195</v>
      </c>
      <c r="B1056" t="s">
        <v>1184</v>
      </c>
      <c r="C1056">
        <v>1.1000000000000001</v>
      </c>
    </row>
    <row r="1057" spans="1:4" x14ac:dyDescent="0.35">
      <c r="A1057" t="s">
        <v>1196</v>
      </c>
      <c r="B1057" t="s">
        <v>1197</v>
      </c>
      <c r="C1057">
        <v>3.3</v>
      </c>
      <c r="D1057">
        <v>13</v>
      </c>
    </row>
    <row r="1058" spans="1:4" x14ac:dyDescent="0.35">
      <c r="A1058" t="s">
        <v>1198</v>
      </c>
      <c r="B1058" t="s">
        <v>1199</v>
      </c>
      <c r="D1058">
        <v>16</v>
      </c>
    </row>
    <row r="1059" spans="1:4" x14ac:dyDescent="0.35">
      <c r="A1059" t="s">
        <v>1200</v>
      </c>
      <c r="B1059" t="s">
        <v>1197</v>
      </c>
      <c r="C1059">
        <v>5.5</v>
      </c>
      <c r="D1059">
        <v>16</v>
      </c>
    </row>
    <row r="1060" spans="1:4" x14ac:dyDescent="0.35">
      <c r="A1060" t="s">
        <v>1201</v>
      </c>
      <c r="B1060" t="s">
        <v>1199</v>
      </c>
      <c r="D1060">
        <v>25</v>
      </c>
    </row>
    <row r="1061" spans="1:4" x14ac:dyDescent="0.35">
      <c r="A1061" t="s">
        <v>1202</v>
      </c>
      <c r="B1061" t="s">
        <v>1197</v>
      </c>
      <c r="C1061">
        <v>6.6</v>
      </c>
      <c r="D1061">
        <v>23</v>
      </c>
    </row>
    <row r="1062" spans="1:4" x14ac:dyDescent="0.35">
      <c r="A1062" t="s">
        <v>1203</v>
      </c>
      <c r="B1062" t="s">
        <v>1199</v>
      </c>
      <c r="D1062">
        <v>41</v>
      </c>
    </row>
    <row r="1063" spans="1:4" x14ac:dyDescent="0.35">
      <c r="A1063" t="s">
        <v>1204</v>
      </c>
      <c r="B1063" t="s">
        <v>1197</v>
      </c>
      <c r="C1063">
        <v>11</v>
      </c>
      <c r="D1063">
        <v>32</v>
      </c>
    </row>
    <row r="1064" spans="1:4" x14ac:dyDescent="0.35">
      <c r="A1064" t="s">
        <v>1205</v>
      </c>
      <c r="B1064" t="s">
        <v>1199</v>
      </c>
      <c r="D1064">
        <v>56</v>
      </c>
    </row>
    <row r="1065" spans="1:4" x14ac:dyDescent="0.35">
      <c r="A1065" t="s">
        <v>1206</v>
      </c>
      <c r="B1065" t="s">
        <v>1197</v>
      </c>
      <c r="C1065">
        <v>15.4</v>
      </c>
      <c r="D1065">
        <v>43</v>
      </c>
    </row>
    <row r="1066" spans="1:4" x14ac:dyDescent="0.35">
      <c r="A1066" t="s">
        <v>1207</v>
      </c>
      <c r="B1066" t="s">
        <v>1199</v>
      </c>
      <c r="D1066">
        <v>68</v>
      </c>
    </row>
    <row r="1067" spans="1:4" x14ac:dyDescent="0.35">
      <c r="A1067" t="s">
        <v>1208</v>
      </c>
      <c r="B1067" t="s">
        <v>1197</v>
      </c>
      <c r="C1067">
        <v>19.8</v>
      </c>
      <c r="D1067">
        <v>59</v>
      </c>
    </row>
    <row r="1068" spans="1:4" x14ac:dyDescent="0.35">
      <c r="A1068" t="s">
        <v>1209</v>
      </c>
      <c r="B1068" t="s">
        <v>1199</v>
      </c>
      <c r="D1068">
        <v>77</v>
      </c>
    </row>
    <row r="1069" spans="1:4" x14ac:dyDescent="0.35">
      <c r="A1069" t="s">
        <v>1210</v>
      </c>
      <c r="B1069" t="s">
        <v>1197</v>
      </c>
      <c r="C1069">
        <v>44</v>
      </c>
      <c r="D1069">
        <v>104</v>
      </c>
    </row>
    <row r="1070" spans="1:4" x14ac:dyDescent="0.35">
      <c r="A1070" t="s">
        <v>1211</v>
      </c>
      <c r="B1070" t="s">
        <v>1197</v>
      </c>
      <c r="C1070">
        <v>59.4</v>
      </c>
      <c r="D1070">
        <v>154</v>
      </c>
    </row>
    <row r="1071" spans="1:4" x14ac:dyDescent="0.35">
      <c r="A1071" t="s">
        <v>1212</v>
      </c>
      <c r="B1071" t="s">
        <v>1197</v>
      </c>
      <c r="D1071">
        <v>212</v>
      </c>
    </row>
    <row r="1072" spans="1:4" x14ac:dyDescent="0.35">
      <c r="A1072" t="s">
        <v>1213</v>
      </c>
      <c r="B1072" t="s">
        <v>1197</v>
      </c>
      <c r="D1072">
        <v>292</v>
      </c>
    </row>
    <row r="1073" spans="1:4" x14ac:dyDescent="0.35">
      <c r="A1073" t="s">
        <v>1214</v>
      </c>
      <c r="B1073" t="s">
        <v>1215</v>
      </c>
    </row>
    <row r="1074" spans="1:4" x14ac:dyDescent="0.35">
      <c r="A1074" t="s">
        <v>1216</v>
      </c>
      <c r="B1074" t="s">
        <v>1217</v>
      </c>
      <c r="C1074">
        <v>0.35</v>
      </c>
    </row>
    <row r="1075" spans="1:4" x14ac:dyDescent="0.35">
      <c r="A1075" t="s">
        <v>1218</v>
      </c>
      <c r="B1075" t="s">
        <v>1217</v>
      </c>
      <c r="C1075">
        <v>0.59</v>
      </c>
    </row>
    <row r="1076" spans="1:4" x14ac:dyDescent="0.35">
      <c r="A1076" t="s">
        <v>1219</v>
      </c>
      <c r="B1076" t="s">
        <v>1217</v>
      </c>
      <c r="C1076">
        <v>0.94</v>
      </c>
    </row>
    <row r="1077" spans="1:4" x14ac:dyDescent="0.35">
      <c r="A1077" t="s">
        <v>1220</v>
      </c>
      <c r="B1077" t="s">
        <v>1217</v>
      </c>
      <c r="C1077">
        <v>1.55</v>
      </c>
    </row>
    <row r="1078" spans="1:4" x14ac:dyDescent="0.35">
      <c r="A1078" t="s">
        <v>1221</v>
      </c>
      <c r="B1078" t="s">
        <v>1217</v>
      </c>
      <c r="C1078">
        <v>1.93</v>
      </c>
    </row>
    <row r="1079" spans="1:4" x14ac:dyDescent="0.35">
      <c r="A1079" t="s">
        <v>1222</v>
      </c>
      <c r="B1079" t="s">
        <v>1217</v>
      </c>
      <c r="C1079">
        <v>2.91</v>
      </c>
    </row>
    <row r="1080" spans="1:4" x14ac:dyDescent="0.35">
      <c r="A1080" t="s">
        <v>1223</v>
      </c>
      <c r="B1080" t="s">
        <v>1217</v>
      </c>
      <c r="C1080">
        <v>4.21</v>
      </c>
    </row>
    <row r="1081" spans="1:4" x14ac:dyDescent="0.35">
      <c r="A1081" t="s">
        <v>1224</v>
      </c>
      <c r="B1081" t="s">
        <v>1217</v>
      </c>
      <c r="C1081">
        <v>5.85</v>
      </c>
    </row>
    <row r="1082" spans="1:4" x14ac:dyDescent="0.35">
      <c r="A1082" t="s">
        <v>1225</v>
      </c>
      <c r="B1082" t="s">
        <v>1217</v>
      </c>
      <c r="C1082">
        <v>7.71</v>
      </c>
    </row>
    <row r="1083" spans="1:4" x14ac:dyDescent="0.35">
      <c r="A1083" t="s">
        <v>1226</v>
      </c>
      <c r="B1083" t="s">
        <v>1217</v>
      </c>
      <c r="C1083">
        <v>11.24</v>
      </c>
    </row>
    <row r="1084" spans="1:4" x14ac:dyDescent="0.35">
      <c r="A1084" t="s">
        <v>1227</v>
      </c>
      <c r="B1084" t="s">
        <v>1217</v>
      </c>
      <c r="C1084">
        <v>14.02</v>
      </c>
    </row>
    <row r="1085" spans="1:4" x14ac:dyDescent="0.35">
      <c r="A1085" t="s">
        <v>1228</v>
      </c>
      <c r="B1085" t="s">
        <v>1217</v>
      </c>
      <c r="C1085">
        <v>17.43</v>
      </c>
    </row>
    <row r="1086" spans="1:4" x14ac:dyDescent="0.35">
      <c r="A1086" t="s">
        <v>1229</v>
      </c>
      <c r="B1086" t="s">
        <v>1230</v>
      </c>
      <c r="C1086">
        <v>8.8000000000000007</v>
      </c>
      <c r="D1086">
        <v>51</v>
      </c>
    </row>
    <row r="1087" spans="1:4" x14ac:dyDescent="0.35">
      <c r="A1087" t="s">
        <v>1231</v>
      </c>
      <c r="B1087" t="s">
        <v>1232</v>
      </c>
      <c r="C1087">
        <v>18.7</v>
      </c>
      <c r="D1087">
        <v>51</v>
      </c>
    </row>
    <row r="1088" spans="1:4" x14ac:dyDescent="0.35">
      <c r="A1088" t="s">
        <v>1233</v>
      </c>
      <c r="B1088" t="s">
        <v>1234</v>
      </c>
      <c r="C1088">
        <v>18.7</v>
      </c>
      <c r="D1088">
        <v>76</v>
      </c>
    </row>
    <row r="1089" spans="1:4" x14ac:dyDescent="0.35">
      <c r="A1089" t="s">
        <v>1235</v>
      </c>
      <c r="B1089" t="s">
        <v>1236</v>
      </c>
      <c r="C1089">
        <v>20.9</v>
      </c>
      <c r="D1089">
        <v>104</v>
      </c>
    </row>
    <row r="1090" spans="1:4" x14ac:dyDescent="0.35">
      <c r="A1090" t="s">
        <v>1237</v>
      </c>
      <c r="B1090" t="s">
        <v>1238</v>
      </c>
      <c r="C1090">
        <v>25.3</v>
      </c>
      <c r="D1090">
        <v>104</v>
      </c>
    </row>
    <row r="1091" spans="1:4" x14ac:dyDescent="0.35">
      <c r="A1091" t="s">
        <v>1239</v>
      </c>
      <c r="B1091" t="s">
        <v>1240</v>
      </c>
      <c r="C1091">
        <v>70.400000000000006</v>
      </c>
      <c r="D1091">
        <v>167</v>
      </c>
    </row>
    <row r="1092" spans="1:4" x14ac:dyDescent="0.35">
      <c r="A1092" t="s">
        <v>1241</v>
      </c>
      <c r="B1092" t="s">
        <v>1242</v>
      </c>
      <c r="C1092">
        <v>63.8</v>
      </c>
      <c r="D1092">
        <v>210</v>
      </c>
    </row>
    <row r="1093" spans="1:4" x14ac:dyDescent="0.35">
      <c r="A1093" t="s">
        <v>1243</v>
      </c>
      <c r="B1093" t="s">
        <v>1244</v>
      </c>
      <c r="C1093">
        <v>124.3</v>
      </c>
      <c r="D1093">
        <v>344</v>
      </c>
    </row>
    <row r="1094" spans="1:4" x14ac:dyDescent="0.35">
      <c r="A1094" t="s">
        <v>1245</v>
      </c>
      <c r="B1094" t="s">
        <v>1246</v>
      </c>
      <c r="C1094">
        <v>108.9</v>
      </c>
      <c r="D1094">
        <v>344</v>
      </c>
    </row>
    <row r="1095" spans="1:4" x14ac:dyDescent="0.35">
      <c r="A1095" t="s">
        <v>1247</v>
      </c>
      <c r="B1095" t="s">
        <v>1248</v>
      </c>
      <c r="C1095">
        <v>170.5</v>
      </c>
      <c r="D1095">
        <v>588</v>
      </c>
    </row>
    <row r="1096" spans="1:4" x14ac:dyDescent="0.35">
      <c r="A1096" t="s">
        <v>1249</v>
      </c>
      <c r="B1096" t="s">
        <v>1250</v>
      </c>
      <c r="C1096">
        <v>294.8</v>
      </c>
      <c r="D1096">
        <v>853</v>
      </c>
    </row>
    <row r="1097" spans="1:4" x14ac:dyDescent="0.35">
      <c r="A1097" t="s">
        <v>1251</v>
      </c>
      <c r="B1097" t="s">
        <v>1252</v>
      </c>
      <c r="C1097">
        <v>387.2</v>
      </c>
      <c r="D1097">
        <v>1285</v>
      </c>
    </row>
    <row r="1098" spans="1:4" x14ac:dyDescent="0.35">
      <c r="A1098" t="s">
        <v>1253</v>
      </c>
      <c r="B1098" t="s">
        <v>1254</v>
      </c>
      <c r="C1098">
        <v>465.3</v>
      </c>
      <c r="D1098">
        <v>1471</v>
      </c>
    </row>
    <row r="1099" spans="1:4" x14ac:dyDescent="0.35">
      <c r="A1099" t="s">
        <v>1255</v>
      </c>
      <c r="B1099" t="s">
        <v>1256</v>
      </c>
      <c r="C1099">
        <v>542.29999999999995</v>
      </c>
      <c r="D1099">
        <v>1683</v>
      </c>
    </row>
    <row r="1100" spans="1:4" x14ac:dyDescent="0.35">
      <c r="A1100" t="s">
        <v>1257</v>
      </c>
      <c r="B1100" t="s">
        <v>1258</v>
      </c>
      <c r="C1100">
        <v>687.5</v>
      </c>
      <c r="D1100">
        <v>1900</v>
      </c>
    </row>
    <row r="1101" spans="1:4" x14ac:dyDescent="0.35">
      <c r="A1101" t="s">
        <v>1259</v>
      </c>
      <c r="B1101" t="s">
        <v>348</v>
      </c>
    </row>
    <row r="1102" spans="1:4" x14ac:dyDescent="0.35">
      <c r="A1102" t="s">
        <v>1260</v>
      </c>
      <c r="B1102" t="s">
        <v>1261</v>
      </c>
      <c r="C1102">
        <v>14.3</v>
      </c>
      <c r="D1102">
        <v>16</v>
      </c>
    </row>
    <row r="1103" spans="1:4" x14ac:dyDescent="0.35">
      <c r="A1103" t="s">
        <v>1262</v>
      </c>
      <c r="B1103" t="s">
        <v>1263</v>
      </c>
      <c r="C1103">
        <v>16.5</v>
      </c>
      <c r="D1103">
        <v>30</v>
      </c>
    </row>
    <row r="1104" spans="1:4" x14ac:dyDescent="0.35">
      <c r="A1104" t="s">
        <v>1264</v>
      </c>
      <c r="B1104" t="s">
        <v>1265</v>
      </c>
      <c r="C1104">
        <v>17.600000000000001</v>
      </c>
      <c r="D1104">
        <v>31</v>
      </c>
    </row>
    <row r="1105" spans="1:4" x14ac:dyDescent="0.35">
      <c r="A1105" t="s">
        <v>1266</v>
      </c>
      <c r="B1105" t="s">
        <v>1267</v>
      </c>
      <c r="C1105">
        <v>18.7</v>
      </c>
      <c r="D1105">
        <v>51</v>
      </c>
    </row>
    <row r="1106" spans="1:4" x14ac:dyDescent="0.35">
      <c r="A1106" t="s">
        <v>1268</v>
      </c>
      <c r="B1106" t="s">
        <v>1269</v>
      </c>
      <c r="C1106">
        <v>20.9</v>
      </c>
      <c r="D1106">
        <v>74</v>
      </c>
    </row>
    <row r="1107" spans="1:4" x14ac:dyDescent="0.35">
      <c r="A1107" t="s">
        <v>1270</v>
      </c>
      <c r="B1107" t="s">
        <v>1271</v>
      </c>
      <c r="C1107">
        <v>22</v>
      </c>
      <c r="D1107">
        <v>75</v>
      </c>
    </row>
    <row r="1108" spans="1:4" x14ac:dyDescent="0.35">
      <c r="A1108" t="s">
        <v>1272</v>
      </c>
      <c r="B1108" t="s">
        <v>1273</v>
      </c>
      <c r="C1108">
        <v>24.2</v>
      </c>
      <c r="D1108">
        <v>119</v>
      </c>
    </row>
    <row r="1109" spans="1:4" x14ac:dyDescent="0.35">
      <c r="A1109" t="s">
        <v>1274</v>
      </c>
      <c r="B1109" t="s">
        <v>1275</v>
      </c>
      <c r="C1109">
        <v>31.9</v>
      </c>
      <c r="D1109">
        <v>134</v>
      </c>
    </row>
    <row r="1110" spans="1:4" x14ac:dyDescent="0.35">
      <c r="A1110" t="s">
        <v>1276</v>
      </c>
      <c r="B1110" t="s">
        <v>1277</v>
      </c>
      <c r="C1110">
        <v>39.6</v>
      </c>
      <c r="D1110">
        <v>145</v>
      </c>
    </row>
    <row r="1111" spans="1:4" x14ac:dyDescent="0.35">
      <c r="A1111" t="s">
        <v>1278</v>
      </c>
      <c r="B1111" t="s">
        <v>1279</v>
      </c>
      <c r="C1111">
        <v>47.3</v>
      </c>
      <c r="D1111">
        <v>344</v>
      </c>
    </row>
    <row r="1112" spans="1:4" x14ac:dyDescent="0.35">
      <c r="A1112" t="s">
        <v>1280</v>
      </c>
      <c r="B1112" t="s">
        <v>1281</v>
      </c>
      <c r="D1112">
        <v>458</v>
      </c>
    </row>
    <row r="1113" spans="1:4" x14ac:dyDescent="0.35">
      <c r="A1113" t="s">
        <v>1282</v>
      </c>
      <c r="B1113" t="s">
        <v>1283</v>
      </c>
      <c r="D1113">
        <v>573</v>
      </c>
    </row>
    <row r="1114" spans="1:4" x14ac:dyDescent="0.35">
      <c r="A1114" t="s">
        <v>1284</v>
      </c>
      <c r="B1114" t="s">
        <v>1285</v>
      </c>
      <c r="C1114">
        <v>0.83</v>
      </c>
    </row>
    <row r="1115" spans="1:4" x14ac:dyDescent="0.35">
      <c r="A1115" t="s">
        <v>1286</v>
      </c>
      <c r="B1115" t="s">
        <v>1285</v>
      </c>
      <c r="C1115">
        <v>1.71</v>
      </c>
    </row>
    <row r="1116" spans="1:4" x14ac:dyDescent="0.35">
      <c r="A1116" t="s">
        <v>1287</v>
      </c>
      <c r="B1116" t="s">
        <v>1285</v>
      </c>
      <c r="C1116">
        <v>3.07</v>
      </c>
    </row>
    <row r="1117" spans="1:4" x14ac:dyDescent="0.35">
      <c r="A1117" t="s">
        <v>1288</v>
      </c>
      <c r="B1117" t="s">
        <v>1285</v>
      </c>
      <c r="C1117">
        <v>4.5199999999999996</v>
      </c>
    </row>
    <row r="1118" spans="1:4" x14ac:dyDescent="0.35">
      <c r="A1118" t="s">
        <v>1289</v>
      </c>
      <c r="B1118" t="s">
        <v>1285</v>
      </c>
      <c r="C1118">
        <v>6.26</v>
      </c>
    </row>
    <row r="1119" spans="1:4" x14ac:dyDescent="0.35">
      <c r="A1119" t="s">
        <v>1290</v>
      </c>
      <c r="B1119" t="s">
        <v>1285</v>
      </c>
      <c r="C1119">
        <v>9.24</v>
      </c>
    </row>
    <row r="1120" spans="1:4" x14ac:dyDescent="0.35">
      <c r="A1120" t="s">
        <v>1291</v>
      </c>
      <c r="B1120" t="s">
        <v>1285</v>
      </c>
      <c r="C1120">
        <v>12.83</v>
      </c>
    </row>
    <row r="1121" spans="1:4" x14ac:dyDescent="0.35">
      <c r="A1121" t="s">
        <v>1292</v>
      </c>
      <c r="B1121" t="s">
        <v>1285</v>
      </c>
      <c r="C1121">
        <v>17.46</v>
      </c>
    </row>
    <row r="1122" spans="1:4" x14ac:dyDescent="0.35">
      <c r="A1122" t="s">
        <v>1293</v>
      </c>
      <c r="B1122" t="s">
        <v>1285</v>
      </c>
      <c r="C1122">
        <v>28.7</v>
      </c>
    </row>
    <row r="1123" spans="1:4" x14ac:dyDescent="0.35">
      <c r="A1123" t="s">
        <v>1294</v>
      </c>
      <c r="B1123" t="s">
        <v>1285</v>
      </c>
      <c r="C1123">
        <v>44</v>
      </c>
    </row>
    <row r="1124" spans="1:4" x14ac:dyDescent="0.35">
      <c r="A1124" t="s">
        <v>1295</v>
      </c>
      <c r="B1124" t="s">
        <v>1285</v>
      </c>
      <c r="C1124">
        <v>88</v>
      </c>
    </row>
    <row r="1125" spans="1:4" x14ac:dyDescent="0.35">
      <c r="A1125" t="s">
        <v>1296</v>
      </c>
      <c r="B1125" t="s">
        <v>1285</v>
      </c>
      <c r="C1125">
        <v>110</v>
      </c>
    </row>
    <row r="1126" spans="1:4" x14ac:dyDescent="0.35">
      <c r="A1126" t="s">
        <v>1297</v>
      </c>
      <c r="B1126" t="s">
        <v>1298</v>
      </c>
      <c r="C1126">
        <v>42.9</v>
      </c>
      <c r="D1126">
        <v>109</v>
      </c>
    </row>
    <row r="1127" spans="1:4" x14ac:dyDescent="0.35">
      <c r="A1127" t="s">
        <v>1299</v>
      </c>
      <c r="B1127" t="s">
        <v>1300</v>
      </c>
      <c r="C1127">
        <v>47.3</v>
      </c>
      <c r="D1127">
        <v>166</v>
      </c>
    </row>
    <row r="1128" spans="1:4" x14ac:dyDescent="0.35">
      <c r="A1128" t="s">
        <v>1301</v>
      </c>
      <c r="B1128" t="s">
        <v>1302</v>
      </c>
      <c r="C1128">
        <v>57.2</v>
      </c>
      <c r="D1128">
        <v>202</v>
      </c>
    </row>
    <row r="1129" spans="1:4" x14ac:dyDescent="0.35">
      <c r="A1129" t="s">
        <v>1303</v>
      </c>
      <c r="B1129" t="s">
        <v>1304</v>
      </c>
      <c r="C1129">
        <v>90.2</v>
      </c>
      <c r="D1129">
        <v>242</v>
      </c>
    </row>
    <row r="1130" spans="1:4" x14ac:dyDescent="0.35">
      <c r="A1130" t="s">
        <v>1305</v>
      </c>
      <c r="B1130" t="s">
        <v>1306</v>
      </c>
      <c r="C1130">
        <v>159.5</v>
      </c>
      <c r="D1130">
        <v>484</v>
      </c>
    </row>
    <row r="1131" spans="1:4" x14ac:dyDescent="0.35">
      <c r="A1131" t="s">
        <v>1307</v>
      </c>
      <c r="B1131" t="s">
        <v>1308</v>
      </c>
      <c r="C1131">
        <v>284.89999999999998</v>
      </c>
      <c r="D1131">
        <v>748</v>
      </c>
    </row>
    <row r="1132" spans="1:4" x14ac:dyDescent="0.35">
      <c r="A1132" t="s">
        <v>1309</v>
      </c>
      <c r="B1132" t="s">
        <v>348</v>
      </c>
      <c r="C1132">
        <v>45.1</v>
      </c>
      <c r="D1132">
        <v>175</v>
      </c>
    </row>
    <row r="1133" spans="1:4" x14ac:dyDescent="0.35">
      <c r="A1133" t="s">
        <v>1310</v>
      </c>
      <c r="B1133" t="s">
        <v>348</v>
      </c>
      <c r="C1133">
        <v>59.4</v>
      </c>
      <c r="D1133">
        <v>185</v>
      </c>
    </row>
    <row r="1134" spans="1:4" x14ac:dyDescent="0.35">
      <c r="A1134" t="s">
        <v>1311</v>
      </c>
      <c r="B1134" t="s">
        <v>348</v>
      </c>
      <c r="C1134">
        <v>70.400000000000006</v>
      </c>
      <c r="D1134">
        <v>195</v>
      </c>
    </row>
    <row r="1135" spans="1:4" x14ac:dyDescent="0.35">
      <c r="A1135" t="s">
        <v>1312</v>
      </c>
      <c r="B1135" t="s">
        <v>348</v>
      </c>
      <c r="C1135">
        <v>95.7</v>
      </c>
      <c r="D1135">
        <v>275</v>
      </c>
    </row>
    <row r="1136" spans="1:4" x14ac:dyDescent="0.35">
      <c r="A1136" t="s">
        <v>1313</v>
      </c>
      <c r="B1136" t="s">
        <v>348</v>
      </c>
      <c r="C1136">
        <v>132</v>
      </c>
      <c r="D1136">
        <v>300</v>
      </c>
    </row>
    <row r="1137" spans="1:4" x14ac:dyDescent="0.35">
      <c r="A1137" t="s">
        <v>1314</v>
      </c>
      <c r="B1137" t="s">
        <v>348</v>
      </c>
      <c r="C1137">
        <v>193.6</v>
      </c>
      <c r="D1137">
        <v>325</v>
      </c>
    </row>
    <row r="1138" spans="1:4" x14ac:dyDescent="0.35">
      <c r="A1138" t="s">
        <v>1315</v>
      </c>
      <c r="B1138" t="s">
        <v>348</v>
      </c>
      <c r="C1138">
        <v>256.3</v>
      </c>
      <c r="D1138">
        <v>450</v>
      </c>
    </row>
    <row r="1139" spans="1:4" x14ac:dyDescent="0.35">
      <c r="A1139" t="s">
        <v>1316</v>
      </c>
      <c r="B1139" t="s">
        <v>348</v>
      </c>
      <c r="C1139">
        <v>322.3</v>
      </c>
      <c r="D1139">
        <v>550</v>
      </c>
    </row>
    <row r="1140" spans="1:4" x14ac:dyDescent="0.35">
      <c r="A1140" t="s">
        <v>1317</v>
      </c>
      <c r="B1140" t="s">
        <v>348</v>
      </c>
      <c r="C1140">
        <v>397.1</v>
      </c>
      <c r="D1140">
        <v>600</v>
      </c>
    </row>
    <row r="1141" spans="1:4" x14ac:dyDescent="0.35">
      <c r="A1141" t="s">
        <v>1318</v>
      </c>
      <c r="B1141" t="s">
        <v>348</v>
      </c>
      <c r="C1141">
        <v>434.5</v>
      </c>
      <c r="D1141">
        <v>750</v>
      </c>
    </row>
    <row r="1142" spans="1:4" x14ac:dyDescent="0.35">
      <c r="A1142" t="s">
        <v>1319</v>
      </c>
      <c r="B1142" t="s">
        <v>348</v>
      </c>
      <c r="D1142">
        <v>850</v>
      </c>
    </row>
    <row r="1143" spans="1:4" x14ac:dyDescent="0.35">
      <c r="A1143" t="s">
        <v>1320</v>
      </c>
      <c r="B1143" t="s">
        <v>348</v>
      </c>
      <c r="D1143">
        <v>995</v>
      </c>
    </row>
    <row r="1144" spans="1:4" x14ac:dyDescent="0.35">
      <c r="A1144" t="s">
        <v>1321</v>
      </c>
      <c r="B1144" t="s">
        <v>1322</v>
      </c>
      <c r="D1144">
        <v>115</v>
      </c>
    </row>
    <row r="1145" spans="1:4" x14ac:dyDescent="0.35">
      <c r="A1145" t="s">
        <v>1323</v>
      </c>
      <c r="B1145" t="s">
        <v>1324</v>
      </c>
      <c r="C1145">
        <v>57.2</v>
      </c>
      <c r="D1145">
        <v>156</v>
      </c>
    </row>
    <row r="1146" spans="1:4" x14ac:dyDescent="0.35">
      <c r="A1146" t="s">
        <v>1325</v>
      </c>
      <c r="B1146" t="s">
        <v>1324</v>
      </c>
      <c r="C1146">
        <v>91.3</v>
      </c>
      <c r="D1146">
        <v>166</v>
      </c>
    </row>
    <row r="1147" spans="1:4" x14ac:dyDescent="0.35">
      <c r="A1147" t="s">
        <v>1326</v>
      </c>
      <c r="B1147" t="s">
        <v>1324</v>
      </c>
      <c r="C1147">
        <v>114.4</v>
      </c>
      <c r="D1147">
        <v>207</v>
      </c>
    </row>
    <row r="1148" spans="1:4" x14ac:dyDescent="0.35">
      <c r="A1148" t="s">
        <v>1327</v>
      </c>
      <c r="B1148" t="s">
        <v>1328</v>
      </c>
      <c r="D1148">
        <v>263</v>
      </c>
    </row>
    <row r="1149" spans="1:4" x14ac:dyDescent="0.35">
      <c r="A1149" t="s">
        <v>1329</v>
      </c>
      <c r="B1149" t="s">
        <v>1324</v>
      </c>
      <c r="C1149">
        <v>171.6</v>
      </c>
    </row>
    <row r="1150" spans="1:4" x14ac:dyDescent="0.35">
      <c r="A1150" t="s">
        <v>1330</v>
      </c>
      <c r="B1150" t="s">
        <v>1331</v>
      </c>
      <c r="D1150">
        <v>465</v>
      </c>
    </row>
    <row r="1151" spans="1:4" x14ac:dyDescent="0.35">
      <c r="A1151" t="s">
        <v>1332</v>
      </c>
      <c r="B1151" t="s">
        <v>1324</v>
      </c>
      <c r="C1151">
        <v>311.3</v>
      </c>
    </row>
    <row r="1152" spans="1:4" x14ac:dyDescent="0.35">
      <c r="A1152" t="s">
        <v>1333</v>
      </c>
      <c r="B1152" t="s">
        <v>1324</v>
      </c>
      <c r="C1152">
        <v>488.4</v>
      </c>
      <c r="D1152">
        <v>509</v>
      </c>
    </row>
    <row r="1153" spans="1:3" x14ac:dyDescent="0.35">
      <c r="A1153" t="s">
        <v>1334</v>
      </c>
      <c r="B1153" t="s">
        <v>1335</v>
      </c>
      <c r="C1153">
        <v>88</v>
      </c>
    </row>
    <row r="1154" spans="1:3" x14ac:dyDescent="0.35">
      <c r="A1154" t="s">
        <v>1336</v>
      </c>
      <c r="B1154" t="s">
        <v>1337</v>
      </c>
      <c r="C1154">
        <v>0.02</v>
      </c>
    </row>
    <row r="1155" spans="1:3" x14ac:dyDescent="0.35">
      <c r="A1155" t="s">
        <v>1338</v>
      </c>
      <c r="B1155" t="s">
        <v>1337</v>
      </c>
      <c r="C1155">
        <v>0.04</v>
      </c>
    </row>
    <row r="1156" spans="1:3" x14ac:dyDescent="0.35">
      <c r="A1156" t="s">
        <v>1339</v>
      </c>
      <c r="B1156" t="s">
        <v>1337</v>
      </c>
      <c r="C1156">
        <v>0.05</v>
      </c>
    </row>
    <row r="1157" spans="1:3" x14ac:dyDescent="0.35">
      <c r="A1157" t="s">
        <v>1340</v>
      </c>
      <c r="B1157" t="s">
        <v>1337</v>
      </c>
      <c r="C1157">
        <v>18</v>
      </c>
    </row>
    <row r="1158" spans="1:3" x14ac:dyDescent="0.35">
      <c r="A1158" t="s">
        <v>1341</v>
      </c>
      <c r="B1158" t="s">
        <v>1337</v>
      </c>
      <c r="C1158">
        <v>0.14000000000000001</v>
      </c>
    </row>
    <row r="1159" spans="1:3" x14ac:dyDescent="0.35">
      <c r="A1159" t="s">
        <v>1342</v>
      </c>
      <c r="B1159" t="s">
        <v>1337</v>
      </c>
      <c r="C1159">
        <v>0.26</v>
      </c>
    </row>
    <row r="1160" spans="1:3" x14ac:dyDescent="0.35">
      <c r="A1160" t="s">
        <v>1343</v>
      </c>
      <c r="B1160" t="s">
        <v>1337</v>
      </c>
      <c r="C1160">
        <v>0.36</v>
      </c>
    </row>
    <row r="1161" spans="1:3" x14ac:dyDescent="0.35">
      <c r="A1161" t="s">
        <v>1344</v>
      </c>
      <c r="B1161" t="s">
        <v>1337</v>
      </c>
      <c r="C1161">
        <v>0.44</v>
      </c>
    </row>
    <row r="1162" spans="1:3" x14ac:dyDescent="0.35">
      <c r="A1162" t="s">
        <v>1345</v>
      </c>
      <c r="B1162" t="s">
        <v>1337</v>
      </c>
      <c r="C1162">
        <v>0.6</v>
      </c>
    </row>
    <row r="1163" spans="1:3" x14ac:dyDescent="0.35">
      <c r="A1163" t="s">
        <v>1346</v>
      </c>
      <c r="B1163" t="s">
        <v>1347</v>
      </c>
      <c r="C1163">
        <v>0.28000000000000003</v>
      </c>
    </row>
    <row r="1164" spans="1:3" x14ac:dyDescent="0.35">
      <c r="A1164" t="s">
        <v>1348</v>
      </c>
      <c r="B1164" t="s">
        <v>1347</v>
      </c>
      <c r="C1164">
        <v>0.33</v>
      </c>
    </row>
    <row r="1165" spans="1:3" x14ac:dyDescent="0.35">
      <c r="A1165" t="s">
        <v>1349</v>
      </c>
      <c r="B1165" t="s">
        <v>1347</v>
      </c>
      <c r="C1165">
        <v>0.11</v>
      </c>
    </row>
    <row r="1166" spans="1:3" x14ac:dyDescent="0.35">
      <c r="A1166" t="s">
        <v>1350</v>
      </c>
      <c r="B1166" t="s">
        <v>1347</v>
      </c>
      <c r="C1166">
        <v>0.24</v>
      </c>
    </row>
    <row r="1167" spans="1:3" x14ac:dyDescent="0.35">
      <c r="A1167" t="s">
        <v>1351</v>
      </c>
      <c r="B1167" t="s">
        <v>1347</v>
      </c>
      <c r="C1167">
        <v>0.5</v>
      </c>
    </row>
    <row r="1168" spans="1:3" x14ac:dyDescent="0.35">
      <c r="A1168" t="s">
        <v>1352</v>
      </c>
      <c r="B1168" t="s">
        <v>1347</v>
      </c>
      <c r="C1168">
        <v>1.43</v>
      </c>
    </row>
    <row r="1169" spans="1:3" x14ac:dyDescent="0.35">
      <c r="A1169" t="s">
        <v>1353</v>
      </c>
      <c r="B1169" t="s">
        <v>1347</v>
      </c>
      <c r="C1169">
        <v>1.98</v>
      </c>
    </row>
    <row r="1170" spans="1:3" x14ac:dyDescent="0.35">
      <c r="A1170" t="s">
        <v>1354</v>
      </c>
      <c r="B1170" t="s">
        <v>1347</v>
      </c>
      <c r="C1170">
        <v>3.3</v>
      </c>
    </row>
    <row r="1171" spans="1:3" x14ac:dyDescent="0.35">
      <c r="A1171" t="s">
        <v>1355</v>
      </c>
      <c r="B1171" t="s">
        <v>1347</v>
      </c>
      <c r="C1171">
        <v>4.13</v>
      </c>
    </row>
    <row r="1172" spans="1:3" x14ac:dyDescent="0.35">
      <c r="A1172" t="s">
        <v>1356</v>
      </c>
      <c r="B1172" t="s">
        <v>1357</v>
      </c>
      <c r="C1172">
        <v>2.2000000000000002</v>
      </c>
    </row>
    <row r="1173" spans="1:3" x14ac:dyDescent="0.35">
      <c r="A1173" t="s">
        <v>1358</v>
      </c>
      <c r="B1173" t="s">
        <v>1357</v>
      </c>
      <c r="C1173">
        <v>3.3</v>
      </c>
    </row>
    <row r="1174" spans="1:3" x14ac:dyDescent="0.35">
      <c r="A1174" t="s">
        <v>1359</v>
      </c>
      <c r="B1174" t="s">
        <v>1357</v>
      </c>
      <c r="C1174">
        <v>3.3</v>
      </c>
    </row>
    <row r="1175" spans="1:3" x14ac:dyDescent="0.35">
      <c r="A1175" t="s">
        <v>1360</v>
      </c>
      <c r="B1175" t="s">
        <v>1357</v>
      </c>
      <c r="C1175">
        <v>6.6</v>
      </c>
    </row>
    <row r="1176" spans="1:3" x14ac:dyDescent="0.35">
      <c r="A1176" t="s">
        <v>1361</v>
      </c>
      <c r="B1176" t="s">
        <v>1357</v>
      </c>
      <c r="C1176">
        <v>9.9</v>
      </c>
    </row>
    <row r="1177" spans="1:3" x14ac:dyDescent="0.35">
      <c r="A1177" t="s">
        <v>1362</v>
      </c>
      <c r="B1177" t="s">
        <v>1357</v>
      </c>
      <c r="C1177">
        <v>14.3</v>
      </c>
    </row>
    <row r="1178" spans="1:3" x14ac:dyDescent="0.35">
      <c r="A1178" t="s">
        <v>1363</v>
      </c>
      <c r="B1178" t="s">
        <v>1357</v>
      </c>
      <c r="C1178">
        <v>15.4</v>
      </c>
    </row>
    <row r="1179" spans="1:3" x14ac:dyDescent="0.35">
      <c r="A1179" t="s">
        <v>1364</v>
      </c>
      <c r="B1179" t="s">
        <v>1357</v>
      </c>
      <c r="C1179">
        <v>25.3</v>
      </c>
    </row>
    <row r="1180" spans="1:3" x14ac:dyDescent="0.35">
      <c r="A1180" t="s">
        <v>1365</v>
      </c>
      <c r="B1180" t="s">
        <v>1357</v>
      </c>
      <c r="C1180">
        <v>37.4</v>
      </c>
    </row>
    <row r="1181" spans="1:3" x14ac:dyDescent="0.35">
      <c r="A1181" t="s">
        <v>1366</v>
      </c>
      <c r="B1181" t="s">
        <v>1367</v>
      </c>
      <c r="C1181">
        <v>92.4</v>
      </c>
    </row>
    <row r="1182" spans="1:3" x14ac:dyDescent="0.35">
      <c r="A1182" t="s">
        <v>1368</v>
      </c>
      <c r="B1182" t="s">
        <v>1369</v>
      </c>
      <c r="C1182">
        <v>0.55000000000000004</v>
      </c>
    </row>
    <row r="1183" spans="1:3" x14ac:dyDescent="0.35">
      <c r="A1183" t="s">
        <v>1370</v>
      </c>
      <c r="B1183" t="s">
        <v>1369</v>
      </c>
      <c r="C1183">
        <v>0.55000000000000004</v>
      </c>
    </row>
    <row r="1184" spans="1:3" x14ac:dyDescent="0.35">
      <c r="A1184" t="s">
        <v>1371</v>
      </c>
      <c r="B1184" t="s">
        <v>1369</v>
      </c>
      <c r="C1184">
        <v>0.66</v>
      </c>
    </row>
    <row r="1185" spans="1:4" x14ac:dyDescent="0.35">
      <c r="A1185" t="s">
        <v>1372</v>
      </c>
      <c r="B1185" t="s">
        <v>1369</v>
      </c>
      <c r="C1185">
        <v>0.77</v>
      </c>
    </row>
    <row r="1186" spans="1:4" x14ac:dyDescent="0.35">
      <c r="A1186" t="s">
        <v>1373</v>
      </c>
      <c r="B1186" t="s">
        <v>1369</v>
      </c>
      <c r="C1186">
        <v>0.83</v>
      </c>
    </row>
    <row r="1187" spans="1:4" x14ac:dyDescent="0.35">
      <c r="A1187" t="s">
        <v>1374</v>
      </c>
      <c r="B1187" t="s">
        <v>1369</v>
      </c>
      <c r="C1187">
        <v>1.65</v>
      </c>
    </row>
    <row r="1188" spans="1:4" x14ac:dyDescent="0.35">
      <c r="A1188" t="s">
        <v>1375</v>
      </c>
      <c r="B1188" t="s">
        <v>1369</v>
      </c>
      <c r="C1188">
        <v>1.71</v>
      </c>
    </row>
    <row r="1189" spans="1:4" x14ac:dyDescent="0.35">
      <c r="A1189" t="s">
        <v>1376</v>
      </c>
      <c r="B1189" t="s">
        <v>1369</v>
      </c>
      <c r="C1189">
        <v>2.2000000000000002</v>
      </c>
    </row>
    <row r="1190" spans="1:4" x14ac:dyDescent="0.35">
      <c r="A1190" t="s">
        <v>1377</v>
      </c>
      <c r="B1190" t="s">
        <v>1369</v>
      </c>
      <c r="C1190">
        <v>2.86</v>
      </c>
    </row>
    <row r="1191" spans="1:4" x14ac:dyDescent="0.35">
      <c r="A1191" t="s">
        <v>1378</v>
      </c>
      <c r="B1191" t="s">
        <v>1215</v>
      </c>
      <c r="D1191">
        <v>194</v>
      </c>
    </row>
    <row r="1192" spans="1:4" x14ac:dyDescent="0.35">
      <c r="A1192" t="s">
        <v>1379</v>
      </c>
      <c r="B1192" t="s">
        <v>1215</v>
      </c>
      <c r="D1192">
        <v>208</v>
      </c>
    </row>
    <row r="1193" spans="1:4" x14ac:dyDescent="0.35">
      <c r="A1193" t="s">
        <v>1380</v>
      </c>
      <c r="B1193" t="s">
        <v>1215</v>
      </c>
      <c r="D1193">
        <v>241</v>
      </c>
    </row>
    <row r="1194" spans="1:4" x14ac:dyDescent="0.35">
      <c r="A1194" t="s">
        <v>1381</v>
      </c>
      <c r="B1194" t="s">
        <v>1215</v>
      </c>
      <c r="D1194">
        <v>340</v>
      </c>
    </row>
    <row r="1195" spans="1:4" x14ac:dyDescent="0.35">
      <c r="A1195" t="s">
        <v>1382</v>
      </c>
      <c r="B1195" t="s">
        <v>1215</v>
      </c>
      <c r="D1195">
        <v>534</v>
      </c>
    </row>
    <row r="1196" spans="1:4" x14ac:dyDescent="0.35">
      <c r="A1196" t="s">
        <v>1383</v>
      </c>
      <c r="B1196" t="s">
        <v>1215</v>
      </c>
      <c r="D1196">
        <v>384</v>
      </c>
    </row>
    <row r="1197" spans="1:4" x14ac:dyDescent="0.35">
      <c r="A1197" t="s">
        <v>1384</v>
      </c>
      <c r="B1197" t="s">
        <v>1215</v>
      </c>
      <c r="D1197">
        <v>527</v>
      </c>
    </row>
    <row r="1198" spans="1:4" x14ac:dyDescent="0.35">
      <c r="A1198" t="s">
        <v>1385</v>
      </c>
      <c r="B1198" t="s">
        <v>1215</v>
      </c>
      <c r="D1198">
        <v>673</v>
      </c>
    </row>
    <row r="1199" spans="1:4" x14ac:dyDescent="0.35">
      <c r="A1199" t="s">
        <v>1386</v>
      </c>
      <c r="B1199" t="s">
        <v>1215</v>
      </c>
      <c r="D1199">
        <v>740</v>
      </c>
    </row>
    <row r="1200" spans="1:4" x14ac:dyDescent="0.35">
      <c r="A1200" t="s">
        <v>1387</v>
      </c>
      <c r="B1200" t="s">
        <v>1215</v>
      </c>
      <c r="D1200">
        <v>872</v>
      </c>
    </row>
    <row r="1201" spans="1:4" x14ac:dyDescent="0.35">
      <c r="A1201" t="s">
        <v>1388</v>
      </c>
      <c r="B1201" t="s">
        <v>1215</v>
      </c>
      <c r="D1201">
        <v>891</v>
      </c>
    </row>
    <row r="1202" spans="1:4" x14ac:dyDescent="0.35">
      <c r="A1202" t="s">
        <v>1389</v>
      </c>
      <c r="B1202" t="s">
        <v>1215</v>
      </c>
      <c r="D1202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E025-6B94-4557-A2F5-87E1A66F2A24}">
  <dimension ref="A1:R496"/>
  <sheetViews>
    <sheetView tabSelected="1" topLeftCell="A20" workbookViewId="0">
      <selection activeCell="D39" sqref="D39"/>
    </sheetView>
  </sheetViews>
  <sheetFormatPr defaultColWidth="9.08984375" defaultRowHeight="11.5" x14ac:dyDescent="0.25"/>
  <cols>
    <col min="1" max="1" width="10.54296875" style="7" customWidth="1"/>
    <col min="2" max="2" width="31.54296875" style="7" bestFit="1" customWidth="1"/>
    <col min="3" max="3" width="13.36328125" style="19" customWidth="1"/>
    <col min="4" max="4" width="31.36328125" style="7" customWidth="1"/>
    <col min="5" max="16384" width="9.08984375" style="7"/>
  </cols>
  <sheetData>
    <row r="1" spans="3:18" x14ac:dyDescent="0.25">
      <c r="F1" s="8"/>
      <c r="G1" s="8"/>
      <c r="H1" s="8"/>
      <c r="I1" s="8"/>
      <c r="J1" s="8"/>
      <c r="K1" s="7" t="str">
        <f>M5</f>
        <v/>
      </c>
    </row>
    <row r="2" spans="3:18" x14ac:dyDescent="0.25">
      <c r="F2" s="7" t="str">
        <f>IF([1]Data!B$3="VA","MX3","MF1")</f>
        <v>MF1</v>
      </c>
      <c r="H2" s="7" t="s">
        <v>1390</v>
      </c>
      <c r="J2" s="8"/>
      <c r="K2" s="7" t="str">
        <f>N5</f>
        <v/>
      </c>
    </row>
    <row r="3" spans="3:18" x14ac:dyDescent="0.25">
      <c r="F3" s="7" t="s">
        <v>1391</v>
      </c>
      <c r="H3" s="7" t="s">
        <v>1392</v>
      </c>
      <c r="J3" s="8"/>
      <c r="K3" s="7" t="str">
        <f>O5</f>
        <v/>
      </c>
    </row>
    <row r="4" spans="3:18" x14ac:dyDescent="0.25">
      <c r="F4" s="7" t="str">
        <f>IF(OR([1]Data!B$3="SH",[1]Data!B$3="SA"),"","MF5")</f>
        <v>MF5</v>
      </c>
      <c r="H4" s="7" t="s">
        <v>1393</v>
      </c>
      <c r="J4" s="8"/>
      <c r="K4" s="7" t="str">
        <f>P5</f>
        <v/>
      </c>
    </row>
    <row r="5" spans="3:18" x14ac:dyDescent="0.25">
      <c r="F5" s="7" t="str">
        <f>IF(OR([1]Data!B$3="SH",[1]Data!B$3="SA"),"","MF6")</f>
        <v>MF6</v>
      </c>
      <c r="H5" s="7" t="s">
        <v>1394</v>
      </c>
      <c r="J5" s="8"/>
      <c r="K5" s="7" t="str">
        <f>Q5</f>
        <v/>
      </c>
      <c r="M5" s="7" t="str">
        <f t="shared" ref="M5:R5" si="0">IF(SUM(M8:M168)&gt;0.1,SUM(M8:M168),"")</f>
        <v/>
      </c>
      <c r="N5" s="7" t="str">
        <f t="shared" si="0"/>
        <v/>
      </c>
      <c r="O5" s="7" t="str">
        <f t="shared" si="0"/>
        <v/>
      </c>
      <c r="P5" s="7" t="str">
        <f t="shared" si="0"/>
        <v/>
      </c>
      <c r="Q5" s="7" t="str">
        <f t="shared" si="0"/>
        <v/>
      </c>
      <c r="R5" s="7" t="str">
        <f t="shared" si="0"/>
        <v/>
      </c>
    </row>
    <row r="6" spans="3:18" x14ac:dyDescent="0.25">
      <c r="D6" s="7" t="str">
        <f>IF(OR([1]Data!B3="LH",[1]Data!B3="A",[1]Data!B3="VA"),"B","P")</f>
        <v>P</v>
      </c>
      <c r="E6" s="7" t="s">
        <v>1395</v>
      </c>
      <c r="F6" s="7" t="s">
        <v>1396</v>
      </c>
      <c r="H6" s="7" t="s">
        <v>1397</v>
      </c>
      <c r="J6" s="8"/>
      <c r="K6" s="7" t="str">
        <f>R5</f>
        <v/>
      </c>
    </row>
    <row r="7" spans="3:18" x14ac:dyDescent="0.25">
      <c r="D7" s="7" t="str">
        <f>IF(OR([1]Data!B3="LH",[1]Data!B3="A",[1]Data!B3="VA"),"V","B")</f>
        <v>B</v>
      </c>
      <c r="E7" s="7" t="s">
        <v>1398</v>
      </c>
      <c r="F7" s="7" t="str">
        <f>IF(OR([1]Data!B$3="SH",[1]Data!B$3="SA"),"","MP2")</f>
        <v>MP2</v>
      </c>
      <c r="H7" s="7" t="s">
        <v>1399</v>
      </c>
      <c r="J7" s="8"/>
      <c r="K7" s="9"/>
    </row>
    <row r="8" spans="3:18" x14ac:dyDescent="0.25">
      <c r="C8" s="19" t="s">
        <v>1395</v>
      </c>
      <c r="D8" s="7" t="str">
        <f>IF(OR([1]Data!B3="LH",[1]Data!B3="A",[1]Data!B3="VA"),"P","V")</f>
        <v>V</v>
      </c>
      <c r="E8" s="7" t="s">
        <v>1400</v>
      </c>
      <c r="F8" s="7" t="s">
        <v>1401</v>
      </c>
      <c r="H8" s="7" t="s">
        <v>1402</v>
      </c>
      <c r="J8" s="10" t="s">
        <v>1392</v>
      </c>
      <c r="K8" s="11">
        <v>1.5</v>
      </c>
      <c r="L8" s="10">
        <v>0.625</v>
      </c>
      <c r="M8" s="7" t="str">
        <f>IF(OR([1]Data!$B$3="A",[1]Data!$B$3="LH"),IF([1]Data!$B$4=$K8,$L8,""),"")</f>
        <v/>
      </c>
    </row>
    <row r="9" spans="3:18" x14ac:dyDescent="0.25">
      <c r="D9" s="7" t="s">
        <v>1398</v>
      </c>
      <c r="F9" s="7" t="str">
        <f>IF(OR([1]Data!B$3="SH",[1]Data!B$3="SA"),"","MPU3")</f>
        <v>MPU3</v>
      </c>
      <c r="H9" s="7" t="s">
        <v>1403</v>
      </c>
      <c r="J9" s="10" t="s">
        <v>1392</v>
      </c>
      <c r="K9" s="11">
        <v>1.5</v>
      </c>
      <c r="L9" s="10">
        <v>1</v>
      </c>
      <c r="N9" s="7" t="str">
        <f>IF(OR([1]Data!$B$3="A",[1]Data!$B$3="LH"),IF([1]Data!$B$4=$K9,$L9,""),"")</f>
        <v/>
      </c>
    </row>
    <row r="10" spans="3:18" x14ac:dyDescent="0.25">
      <c r="C10" s="19" t="s">
        <v>1392</v>
      </c>
      <c r="D10" s="7" t="s">
        <v>1395</v>
      </c>
      <c r="F10" s="7" t="s">
        <v>1404</v>
      </c>
      <c r="H10" s="7" t="s">
        <v>1405</v>
      </c>
      <c r="J10" s="10" t="s">
        <v>1392</v>
      </c>
      <c r="K10" s="11">
        <v>2</v>
      </c>
      <c r="L10" s="10">
        <v>0.625</v>
      </c>
      <c r="M10" s="7" t="str">
        <f>IF(OR([1]Data!$B$3="A",[1]Data!$B$3="LH"),IF([1]Data!$B$4=$K10,$L10,""),"")</f>
        <v/>
      </c>
    </row>
    <row r="11" spans="3:18" x14ac:dyDescent="0.25">
      <c r="C11" s="19" t="s">
        <v>1406</v>
      </c>
      <c r="D11" s="7" t="s">
        <v>1390</v>
      </c>
      <c r="F11" s="7" t="str">
        <f>IF(OR([1]Data!B$3="SH",[1]Data!B$3="SA"),"","MS3")</f>
        <v>MS3</v>
      </c>
      <c r="H11" s="7" t="s">
        <v>1406</v>
      </c>
      <c r="J11" s="10" t="s">
        <v>1392</v>
      </c>
      <c r="K11" s="11">
        <v>2</v>
      </c>
      <c r="L11" s="10">
        <v>1</v>
      </c>
      <c r="N11" s="7" t="str">
        <f>IF(OR([1]Data!$B$3="A",[1]Data!$B$3="LH"),IF([1]Data!$B$4=$K11,$L11,""),"")</f>
        <v/>
      </c>
    </row>
    <row r="12" spans="3:18" x14ac:dyDescent="0.25">
      <c r="C12" s="19" t="s">
        <v>1407</v>
      </c>
      <c r="D12" s="7">
        <f>IF([1]Data!B3="VA",3,1)</f>
        <v>1</v>
      </c>
      <c r="E12" s="7" t="s">
        <v>1408</v>
      </c>
      <c r="F12" s="7" t="s">
        <v>1409</v>
      </c>
      <c r="H12" s="7" t="s">
        <v>1410</v>
      </c>
      <c r="J12" s="10" t="s">
        <v>1392</v>
      </c>
      <c r="K12" s="11">
        <v>2</v>
      </c>
      <c r="L12" s="10">
        <v>1.375</v>
      </c>
      <c r="O12" s="7" t="str">
        <f>IF(OR([1]Data!B$3="A",[1]Data!$B$3="LH"),IF([1]Data!B$4=K12,L12,""),"")</f>
        <v/>
      </c>
    </row>
    <row r="13" spans="3:18" x14ac:dyDescent="0.25">
      <c r="D13" s="7">
        <f>IF([1]Data!B3="VA","",2)</f>
        <v>2</v>
      </c>
      <c r="E13" s="7" t="s">
        <v>1411</v>
      </c>
      <c r="F13" s="7" t="s">
        <v>1412</v>
      </c>
      <c r="J13" s="10" t="s">
        <v>1392</v>
      </c>
      <c r="K13" s="11">
        <v>2.5</v>
      </c>
      <c r="L13" s="10">
        <v>0.625</v>
      </c>
      <c r="M13" s="7" t="str">
        <f>IF(OR([1]Data!$B$3="A",[1]Data!$B$3="LH"),IF([1]Data!$B$4=$K13,$L13,""),"")</f>
        <v/>
      </c>
    </row>
    <row r="14" spans="3:18" x14ac:dyDescent="0.25">
      <c r="C14" s="19">
        <v>4</v>
      </c>
      <c r="D14" s="7">
        <f>IF([1]Data!B3="VA","",3)</f>
        <v>3</v>
      </c>
      <c r="E14" s="7" t="s">
        <v>1413</v>
      </c>
      <c r="F14" s="7" t="s">
        <v>1414</v>
      </c>
      <c r="J14" s="10" t="s">
        <v>1392</v>
      </c>
      <c r="K14" s="11">
        <v>2.5</v>
      </c>
      <c r="L14" s="10">
        <v>1</v>
      </c>
      <c r="N14" s="7" t="str">
        <f>IF(OR([1]Data!$B$3="A",[1]Data!$B$3="LH"),IF([1]Data!$B$4=$K14,$L14,""),"")</f>
        <v/>
      </c>
    </row>
    <row r="15" spans="3:18" x14ac:dyDescent="0.25">
      <c r="C15" s="19">
        <v>7</v>
      </c>
      <c r="D15" s="7">
        <f>IF([1]Data!B3="VA","",4)</f>
        <v>4</v>
      </c>
      <c r="E15" s="7" t="s">
        <v>1415</v>
      </c>
      <c r="F15" s="7" t="s">
        <v>1416</v>
      </c>
      <c r="J15" s="10" t="s">
        <v>1392</v>
      </c>
      <c r="K15" s="11">
        <v>2.5</v>
      </c>
      <c r="L15" s="10">
        <v>1.375</v>
      </c>
      <c r="O15" s="7" t="str">
        <f>IF(OR([1]Data!B$3="A",[1]Data!$B$3="LH"),IF([1]Data!B$4=K15,L15,""),"")</f>
        <v/>
      </c>
    </row>
    <row r="16" spans="3:18" x14ac:dyDescent="0.25">
      <c r="C16" s="19">
        <v>8</v>
      </c>
      <c r="D16" s="7">
        <f>IF([1]Data!B3="VA",1,5)</f>
        <v>5</v>
      </c>
      <c r="E16" s="7" t="s">
        <v>1417</v>
      </c>
      <c r="F16" s="7" t="str">
        <f>IF(OR([1]Data!B$3="SH",[1]Data!B$3="SA"),"","MT4")</f>
        <v>MT4</v>
      </c>
      <c r="J16" s="10" t="s">
        <v>1392</v>
      </c>
      <c r="K16" s="11">
        <v>2.5</v>
      </c>
      <c r="L16" s="10">
        <v>1.75</v>
      </c>
      <c r="P16" s="7" t="str">
        <f>IF(OR([1]Data!B$3="A",[1]Data!$B$3="LH"),IF([1]Data!B$4=K16,L16,""),"")</f>
        <v/>
      </c>
    </row>
    <row r="17" spans="1:18" x14ac:dyDescent="0.25">
      <c r="C17" s="19">
        <v>9</v>
      </c>
      <c r="E17" s="7" t="s">
        <v>1418</v>
      </c>
      <c r="F17" s="7" t="s">
        <v>1419</v>
      </c>
      <c r="J17" s="10" t="s">
        <v>1392</v>
      </c>
      <c r="K17" s="11">
        <v>3.25</v>
      </c>
      <c r="L17" s="10">
        <v>1</v>
      </c>
      <c r="M17" s="7" t="str">
        <f>IF(OR([1]Data!$B$3="A",[1]Data!$B$3="LH"),IF([1]Data!$B$4=$K17,$L17,""),"")</f>
        <v/>
      </c>
    </row>
    <row r="18" spans="1:18" x14ac:dyDescent="0.25">
      <c r="C18" s="19">
        <v>55</v>
      </c>
      <c r="E18" s="7" t="s">
        <v>1420</v>
      </c>
      <c r="F18" s="7" t="s">
        <v>1421</v>
      </c>
      <c r="J18" s="10" t="s">
        <v>1392</v>
      </c>
      <c r="K18" s="11">
        <v>3.25</v>
      </c>
      <c r="L18" s="10">
        <v>1.375</v>
      </c>
      <c r="N18" s="7" t="str">
        <f>IF(OR([1]Data!$B$3="A",[1]Data!$B$3="LH"),IF([1]Data!$B$4=$K18,$L18,""),"")</f>
        <v/>
      </c>
    </row>
    <row r="19" spans="1:18" x14ac:dyDescent="0.25">
      <c r="C19" s="19">
        <v>3</v>
      </c>
      <c r="E19" s="7" t="s">
        <v>1422</v>
      </c>
      <c r="F19" s="7" t="s">
        <v>1423</v>
      </c>
      <c r="J19" s="10" t="s">
        <v>1392</v>
      </c>
      <c r="K19" s="11">
        <v>3.25</v>
      </c>
      <c r="L19" s="10">
        <v>1.75</v>
      </c>
      <c r="O19" s="7" t="str">
        <f>IF(OR([1]Data!B$3="A",[1]Data!$B$3="LH"),IF([1]Data!B$4=K19,L19,""),"")</f>
        <v/>
      </c>
    </row>
    <row r="20" spans="1:18" x14ac:dyDescent="0.25">
      <c r="E20" s="7" t="s">
        <v>1424</v>
      </c>
      <c r="F20" s="7" t="s">
        <v>1425</v>
      </c>
      <c r="J20" s="10" t="s">
        <v>1392</v>
      </c>
      <c r="K20" s="11">
        <v>3.25</v>
      </c>
      <c r="L20" s="10">
        <v>2</v>
      </c>
      <c r="P20" s="7" t="str">
        <f>IF(OR([1]Data!B$3="A",[1]Data!$B$3="LH"),IF([1]Data!B$4=K20,L20,""),"")</f>
        <v/>
      </c>
    </row>
    <row r="21" spans="1:18" x14ac:dyDescent="0.25">
      <c r="D21" s="7">
        <f>IF(OR([1]Data!$B$3="ih",[1]Data!$B$3="ia",[1]Data!$B$3="imh",[1]Data!$B$3="ihm"),25,1.5)</f>
        <v>1.5</v>
      </c>
      <c r="E21" s="7" t="s">
        <v>1426</v>
      </c>
      <c r="F21" s="7" t="s">
        <v>1427</v>
      </c>
      <c r="J21" s="10" t="s">
        <v>1392</v>
      </c>
      <c r="K21" s="11">
        <v>4</v>
      </c>
      <c r="L21" s="10">
        <v>1</v>
      </c>
      <c r="M21" s="7" t="str">
        <f>IF(OR([1]Data!$B$3="A",[1]Data!$B$3="LH"),IF([1]Data!$B$4=$K21,$L21,""),"")</f>
        <v/>
      </c>
    </row>
    <row r="22" spans="1:18" x14ac:dyDescent="0.25">
      <c r="D22" s="7">
        <f>IF(OR([1]Data!$B$3="ih",[1]Data!$B$3="ia",[1]Data!$B$3="imh",[1]Data!$B$3="ihm"),32,2)</f>
        <v>2</v>
      </c>
      <c r="E22" s="7" t="s">
        <v>1428</v>
      </c>
      <c r="F22" s="7" t="s">
        <v>1429</v>
      </c>
      <c r="J22" s="10" t="s">
        <v>1392</v>
      </c>
      <c r="K22" s="11">
        <v>4</v>
      </c>
      <c r="L22" s="10">
        <v>1.375</v>
      </c>
      <c r="N22" s="7" t="str">
        <f>IF(OR([1]Data!$B$3="A",[1]Data!$B$3="LH"),IF([1]Data!$B$4=$K22,$L22,""),"")</f>
        <v/>
      </c>
    </row>
    <row r="23" spans="1:18" x14ac:dyDescent="0.25">
      <c r="D23" s="7">
        <f>IF(OR([1]Data!$B$3="ih",[1]Data!$B$3="ia",[1]Data!$B$3="imh",[1]Data!$B$3="ihm"),40,2.5)</f>
        <v>2.5</v>
      </c>
      <c r="E23" s="7" t="s">
        <v>1430</v>
      </c>
      <c r="F23" s="7" t="str">
        <f>IF(OR(OR([1]Data!B$3="h",[1]Data!B$3="ph",[1]Data!B$3="mh",[1]Data!$B$3="hm"),[1]Data!$B$3="mh",[1]Data!$B$3="hm"),"ME5","")</f>
        <v/>
      </c>
      <c r="J23" s="10" t="s">
        <v>1392</v>
      </c>
      <c r="K23" s="11">
        <v>4</v>
      </c>
      <c r="L23" s="10">
        <v>1.75</v>
      </c>
      <c r="O23" s="7" t="str">
        <f>IF(OR([1]Data!B$3="A",[1]Data!$B$3="LH"),IF([1]Data!B$4=K23,L23,""),"")</f>
        <v/>
      </c>
    </row>
    <row r="24" spans="1:18" x14ac:dyDescent="0.25">
      <c r="A24" s="6" t="str">
        <f>IF([1]Data!F26="","",[1]Data!F26)</f>
        <v/>
      </c>
      <c r="B24" s="7" t="str">
        <f>IF($A24="","",VLOOKUP($A24,$A$52:B$484,2))</f>
        <v/>
      </c>
      <c r="C24" s="19" t="str">
        <f>IF($A24="","",VLOOKUP($A24,$A$52:C$484,3))</f>
        <v/>
      </c>
      <c r="D24" s="7">
        <f>IF(OR([1]Data!$B$3="ih",[1]Data!$B$3="ia",[1]Data!$B$3="imh",[1]Data!$B$3="ihm"),50,3.25)</f>
        <v>3.25</v>
      </c>
      <c r="E24" s="7" t="s">
        <v>1431</v>
      </c>
      <c r="F24" s="7" t="str">
        <f>IF(OR(OR([1]Data!B$3="h",[1]Data!B$3="ph",[1]Data!B$3="mh",[1]Data!$B$3="hm"),[1]Data!$B$3="mh",[1]Data!$B$3="hm"),"ME6","")</f>
        <v/>
      </c>
      <c r="J24" s="10" t="s">
        <v>1392</v>
      </c>
      <c r="K24" s="11">
        <v>4</v>
      </c>
      <c r="L24" s="10">
        <v>2</v>
      </c>
      <c r="P24" s="7" t="str">
        <f>IF(OR([1]Data!B$3="A",[1]Data!$B$3="LH"),IF([1]Data!B$4=K24,L24,""),"")</f>
        <v/>
      </c>
    </row>
    <row r="25" spans="1:18" x14ac:dyDescent="0.25">
      <c r="A25" s="6" t="str">
        <f>IF([1]Data!F27="","",[1]Data!F27)</f>
        <v/>
      </c>
      <c r="B25" s="7" t="str">
        <f>IF($A25="","",VLOOKUP($A25,$A$52:B$484,2))</f>
        <v/>
      </c>
      <c r="C25" s="19" t="str">
        <f>IF($A25="","",VLOOKUP($A25,$A$52:C$484,3))</f>
        <v/>
      </c>
      <c r="D25" s="7">
        <f>IF(OR([1]Data!$B$3="ih",[1]Data!$B$3="ia",[1]Data!$B$3="imh",[1]Data!$B$3="ihm"),63,4)</f>
        <v>4</v>
      </c>
      <c r="F25" s="7" t="s">
        <v>1432</v>
      </c>
      <c r="J25" s="10" t="s">
        <v>1392</v>
      </c>
      <c r="K25" s="11">
        <v>4</v>
      </c>
      <c r="L25" s="10">
        <v>2.5</v>
      </c>
      <c r="Q25" s="7" t="str">
        <f>IF(OR([1]Data!B$3="A",[1]Data!$B$3="LH"),IF([1]Data!B$4=K25,L25,""),"")</f>
        <v/>
      </c>
    </row>
    <row r="26" spans="1:18" x14ac:dyDescent="0.25">
      <c r="A26" s="9" t="str">
        <f>IF([1]Data!F28="","",[1]Data!F28)</f>
        <v/>
      </c>
      <c r="B26" s="7" t="str">
        <f>IF($A26="","",VLOOKUP($A26,$A$52:B$484,2))</f>
        <v/>
      </c>
      <c r="C26" s="19" t="str">
        <f>IF($A26="","",VLOOKUP($A26,$A$52:C$484,3))</f>
        <v/>
      </c>
      <c r="D26" s="7">
        <f>IF(OR([1]Data!$B$3="ih",[1]Data!$B$3="ia",[1]Data!$B$3="imh",[1]Data!$B$3="ihm"),80,5)</f>
        <v>5</v>
      </c>
      <c r="E26" s="7" t="str">
        <f>IF([1]Data!B3="H","S","N")</f>
        <v>N</v>
      </c>
      <c r="J26" s="10" t="s">
        <v>1392</v>
      </c>
      <c r="K26" s="11">
        <v>5</v>
      </c>
      <c r="L26" s="10">
        <v>1</v>
      </c>
      <c r="M26" s="7" t="str">
        <f>IF(OR([1]Data!$B$3="A",[1]Data!$B$3="LH"),IF([1]Data!$B$4=$K26,$L26,""),"")</f>
        <v/>
      </c>
    </row>
    <row r="27" spans="1:18" x14ac:dyDescent="0.25">
      <c r="A27" s="9" t="str">
        <f>IF([1]Data!F29="","",[1]Data!F29)</f>
        <v/>
      </c>
      <c r="B27" s="7" t="str">
        <f>IF($A27="","",VLOOKUP($A27,$A$52:B$484,2))</f>
        <v/>
      </c>
      <c r="C27" s="19" t="str">
        <f>IF($A27="","",VLOOKUP($A27,$A$52:C$484,3))</f>
        <v/>
      </c>
      <c r="D27" s="7">
        <f>IF(OR([1]Data!$B$3="ih",[1]Data!$B$3="ia",[1]Data!$B$3="imh",[1]Data!$B$3="ihm"),100,6)</f>
        <v>6</v>
      </c>
      <c r="E27" s="7" t="str">
        <f>IF([1]Data!B3="H","N","S")</f>
        <v>S</v>
      </c>
      <c r="J27" s="10" t="s">
        <v>1392</v>
      </c>
      <c r="K27" s="11">
        <v>5</v>
      </c>
      <c r="L27" s="10">
        <v>1.375</v>
      </c>
      <c r="N27" s="7" t="str">
        <f>IF(OR([1]Data!$B$3="A",[1]Data!$B$3="LH"),IF([1]Data!$B$4=$K27,$L27,""),"")</f>
        <v/>
      </c>
    </row>
    <row r="28" spans="1:18" x14ac:dyDescent="0.25">
      <c r="A28" s="12" t="str">
        <f>IF([1]Data!F30="","",[1]Data!F30)</f>
        <v/>
      </c>
      <c r="B28" s="7" t="str">
        <f>IF($A28="","",VLOOKUP($A28,$A$52:B$484,2))</f>
        <v/>
      </c>
      <c r="C28" s="19" t="str">
        <f>IF($A28="","",VLOOKUP($A28,$A$52:C$484,3))</f>
        <v/>
      </c>
      <c r="D28" s="7">
        <f>IF(OR([1]Data!$B$3="ih",[1]Data!$B$3="ia",[1]Data!$B$3="imh",[1]Data!$B$3="ihm"),125,7)</f>
        <v>7</v>
      </c>
      <c r="E28" s="7" t="s">
        <v>1407</v>
      </c>
      <c r="J28" s="10" t="s">
        <v>1392</v>
      </c>
      <c r="K28" s="11">
        <v>5</v>
      </c>
      <c r="L28" s="10">
        <v>1.75</v>
      </c>
      <c r="O28" s="7" t="str">
        <f>IF(OR([1]Data!B$3="A",[1]Data!$B$3="LH"),IF([1]Data!B$4=K28,L28,""),"")</f>
        <v/>
      </c>
    </row>
    <row r="29" spans="1:18" x14ac:dyDescent="0.25">
      <c r="A29" s="12" t="str">
        <f>IF([1]Data!F31="","",[1]Data!F31)</f>
        <v/>
      </c>
      <c r="B29" s="7" t="str">
        <f>IF($A29="","",VLOOKUP($A29,$A$52:B$484,2))</f>
        <v/>
      </c>
      <c r="C29" s="19" t="str">
        <f>IF($A29="","",VLOOKUP($A29,$A$52:C$484,3))</f>
        <v/>
      </c>
      <c r="D29" s="7">
        <f>IF(OR([1]Data!$B$3="ih",[1]Data!$B$3="ia",[1]Data!$B$3="imh",[1]Data!$B$3="ihm"),160,8)</f>
        <v>8</v>
      </c>
      <c r="E29" s="7" t="s">
        <v>1433</v>
      </c>
      <c r="J29" s="10" t="s">
        <v>1392</v>
      </c>
      <c r="K29" s="11">
        <v>5</v>
      </c>
      <c r="L29" s="10">
        <v>2</v>
      </c>
      <c r="P29" s="7" t="str">
        <f>IF(OR([1]Data!B$3="A",[1]Data!$B$3="LH"),IF([1]Data!B$4=K29,L29,""),"")</f>
        <v/>
      </c>
    </row>
    <row r="30" spans="1:18" x14ac:dyDescent="0.25">
      <c r="A30" s="13" t="str">
        <f>IF([1]Data!F32="","",[1]Data!F32)</f>
        <v/>
      </c>
      <c r="B30" s="7" t="str">
        <f>IF($A30="","",VLOOKUP($A30,$A$52:B$484,2))</f>
        <v/>
      </c>
      <c r="C30" s="19" t="str">
        <f>IF($A30="","",VLOOKUP($A30,$A$52:C$484,3))</f>
        <v/>
      </c>
      <c r="D30" s="7">
        <f>IF(OR([1]Data!$B$3="ih",[1]Data!$B$3="ia",[1]Data!$B$3="imh",[1]Data!$B$3="ihm"),200,10)</f>
        <v>10</v>
      </c>
      <c r="J30" s="10" t="s">
        <v>1392</v>
      </c>
      <c r="K30" s="11">
        <v>5</v>
      </c>
      <c r="L30" s="10">
        <v>2.5</v>
      </c>
      <c r="Q30" s="7" t="str">
        <f>IF(OR([1]Data!B$3="A",[1]Data!$B$3="LH"),IF([1]Data!B$4=K30,L30,""),"")</f>
        <v/>
      </c>
    </row>
    <row r="31" spans="1:18" x14ac:dyDescent="0.25">
      <c r="A31" s="13"/>
      <c r="D31" s="7">
        <f>IF(OR([1]Data!$B$3="ih",[1]Data!$B$3="ia",[1]Data!$B$3="imh",[1]Data!$B$3="ihm"),250,12)</f>
        <v>12</v>
      </c>
      <c r="J31" s="10" t="s">
        <v>1392</v>
      </c>
      <c r="K31" s="11">
        <v>5</v>
      </c>
      <c r="L31" s="10">
        <v>3</v>
      </c>
      <c r="R31" s="7" t="str">
        <f>IF(OR([1]Data!$B$3="A",[1]Data!$B$3="LH"),IF([1]Data!$B$4=$K31,$L31,""),"")</f>
        <v/>
      </c>
    </row>
    <row r="32" spans="1:18" x14ac:dyDescent="0.25">
      <c r="A32" s="13"/>
      <c r="D32" s="7">
        <f>IF(OR([1]Data!$B$3="ih",[1]Data!$B$3="ia",[1]Data!$B$3="imh",[1]Data!$B$3="ihm"),320,14)</f>
        <v>14</v>
      </c>
      <c r="J32" s="10" t="s">
        <v>1392</v>
      </c>
      <c r="K32" s="11">
        <v>6</v>
      </c>
      <c r="L32" s="10">
        <v>1.375</v>
      </c>
      <c r="M32" s="7" t="str">
        <f>IF(OR([1]Data!$B$3="A",[1]Data!$B$3="LH"),IF([1]Data!$B$4=$K32,$L32,""),"")</f>
        <v/>
      </c>
    </row>
    <row r="33" spans="1:18" x14ac:dyDescent="0.25">
      <c r="A33" s="13"/>
      <c r="D33" s="7" t="str">
        <f>IF(OR([1]Data!B$3="VA",OR([1]Data!B$3="h",[1]Data!B$3="ph",[1]Data!B$3="mh",[1]Data!$B$3="hm"),[1]Data!B$3="mh",[1]Data!$B$3="hm"),16,"")</f>
        <v/>
      </c>
      <c r="J33" s="10" t="s">
        <v>1392</v>
      </c>
      <c r="K33" s="11">
        <v>6</v>
      </c>
      <c r="L33" s="10">
        <v>1.75</v>
      </c>
      <c r="N33" s="7" t="str">
        <f>IF(OR([1]Data!$B$3="A",[1]Data!$B$3="LH"),IF([1]Data!$B$4=$K33,$L33,""),"")</f>
        <v/>
      </c>
    </row>
    <row r="34" spans="1:18" x14ac:dyDescent="0.25">
      <c r="A34" s="13"/>
      <c r="D34" s="7" t="str">
        <f>IF(OR([1]Data!B$3="VA",OR([1]Data!B$3="h",[1]Data!B$3="ph",[1]Data!B$3="mh",[1]Data!$B$3="hm"),[1]Data!B$3="mh",[1]Data!$B$3="hm"),18,"")</f>
        <v/>
      </c>
      <c r="J34" s="10" t="s">
        <v>1392</v>
      </c>
      <c r="K34" s="11">
        <v>6</v>
      </c>
      <c r="L34" s="10">
        <v>2</v>
      </c>
      <c r="O34" s="7" t="str">
        <f>IF(OR([1]Data!B$3="A",[1]Data!$B$3="LH"),IF([1]Data!B$4=K34,L34,""),"")</f>
        <v/>
      </c>
    </row>
    <row r="35" spans="1:18" x14ac:dyDescent="0.25">
      <c r="A35" s="13"/>
      <c r="D35" s="7" t="str">
        <f>IF(OR([1]Data!B$3="VA",OR([1]Data!B$3="h",[1]Data!B$3="ph",[1]Data!B$3="mh",[1]Data!$B$3="hm"),[1]Data!B$3="mh",[1]Data!$B$3="hm"),20,"")</f>
        <v/>
      </c>
      <c r="J35" s="10" t="s">
        <v>1392</v>
      </c>
      <c r="K35" s="11">
        <v>6</v>
      </c>
      <c r="L35" s="10">
        <v>2.5</v>
      </c>
      <c r="P35" s="7" t="str">
        <f>IF(OR([1]Data!B$3="A",[1]Data!$B$3="LH"),IF([1]Data!B$4=K35,L35,""),"")</f>
        <v/>
      </c>
    </row>
    <row r="36" spans="1:18" x14ac:dyDescent="0.25">
      <c r="A36" s="13"/>
      <c r="D36" s="7" t="str">
        <f>IF([1]Data!B$3="VA",22,"")</f>
        <v/>
      </c>
      <c r="J36" s="10" t="s">
        <v>1392</v>
      </c>
      <c r="K36" s="11">
        <v>6</v>
      </c>
      <c r="L36" s="10">
        <v>3</v>
      </c>
      <c r="Q36" s="7" t="str">
        <f>IF(OR([1]Data!B$3="A",[1]Data!$B$3="LH"),IF([1]Data!B$4=K36,L36,""),"")</f>
        <v/>
      </c>
    </row>
    <row r="37" spans="1:18" x14ac:dyDescent="0.25">
      <c r="A37" s="13"/>
      <c r="J37" s="10" t="s">
        <v>1392</v>
      </c>
      <c r="K37" s="11">
        <v>6</v>
      </c>
      <c r="L37" s="10">
        <v>3.5</v>
      </c>
      <c r="R37" s="7" t="str">
        <f>IF(OR([1]Data!$B$3="A",[1]Data!$B$3="LH"),IF([1]Data!$B$4=$K37,$L37,""),"")</f>
        <v/>
      </c>
    </row>
    <row r="38" spans="1:18" x14ac:dyDescent="0.25">
      <c r="A38" s="13"/>
      <c r="J38" s="10" t="s">
        <v>1392</v>
      </c>
      <c r="K38" s="11">
        <v>8</v>
      </c>
      <c r="L38" s="10">
        <v>1.375</v>
      </c>
      <c r="M38" s="7" t="str">
        <f>IF(OR([1]Data!$B$3="A",[1]Data!$B$3="LH"),IF([1]Data!$B$4=$K38,$L38,""),"")</f>
        <v/>
      </c>
    </row>
    <row r="39" spans="1:18" x14ac:dyDescent="0.25">
      <c r="A39" s="7" t="s">
        <v>1434</v>
      </c>
      <c r="B39" s="7" t="s">
        <v>1435</v>
      </c>
      <c r="C39" s="19" t="s">
        <v>3</v>
      </c>
      <c r="J39" s="10" t="s">
        <v>1392</v>
      </c>
      <c r="K39" s="11">
        <v>8</v>
      </c>
      <c r="L39" s="10">
        <v>1.75</v>
      </c>
      <c r="N39" s="7" t="str">
        <f>IF(OR([1]Data!$B$3="A",[1]Data!$B$3="LH"),IF([1]Data!$B$4=$K39,$L39,""),"")</f>
        <v/>
      </c>
    </row>
    <row r="40" spans="1:18" x14ac:dyDescent="0.25">
      <c r="A40" s="7" t="str">
        <f>[1]Acc!D36</f>
        <v>WP062</v>
      </c>
      <c r="B40" s="7" t="s">
        <v>1215</v>
      </c>
      <c r="C40" s="20">
        <v>194</v>
      </c>
      <c r="J40" s="10" t="s">
        <v>1392</v>
      </c>
      <c r="K40" s="11">
        <v>8</v>
      </c>
      <c r="L40" s="10">
        <v>2</v>
      </c>
      <c r="O40" s="7" t="str">
        <f>IF(OR([1]Data!B$3="A",[1]Data!$B$3="LH"),IF([1]Data!B$4=K40,L40,""),"")</f>
        <v/>
      </c>
    </row>
    <row r="41" spans="1:18" x14ac:dyDescent="0.25">
      <c r="A41" s="7" t="str">
        <f>[1]Acc!D37</f>
        <v>WP100</v>
      </c>
      <c r="B41" s="7" t="s">
        <v>1215</v>
      </c>
      <c r="C41" s="20">
        <v>208</v>
      </c>
      <c r="J41" s="10" t="s">
        <v>1392</v>
      </c>
      <c r="K41" s="11">
        <v>8</v>
      </c>
      <c r="L41" s="10">
        <v>2.5</v>
      </c>
      <c r="P41" s="7" t="str">
        <f>IF(OR([1]Data!B$3="A",[1]Data!$B$3="LH"),IF([1]Data!B$4=K41,L41,""),"")</f>
        <v/>
      </c>
    </row>
    <row r="42" spans="1:18" x14ac:dyDescent="0.25">
      <c r="A42" s="7" t="str">
        <f>[1]Acc!D38</f>
        <v>WP138</v>
      </c>
      <c r="B42" s="7" t="s">
        <v>1215</v>
      </c>
      <c r="C42" s="20">
        <v>241</v>
      </c>
      <c r="J42" s="10" t="s">
        <v>1392</v>
      </c>
      <c r="K42" s="11">
        <v>8</v>
      </c>
      <c r="L42" s="10">
        <v>3</v>
      </c>
      <c r="Q42" s="7" t="str">
        <f>IF(OR([1]Data!B$3="A",[1]Data!$B$3="LH"),IF([1]Data!B$4=K42,L42,""),"")</f>
        <v/>
      </c>
    </row>
    <row r="43" spans="1:18" x14ac:dyDescent="0.25">
      <c r="A43" s="7" t="str">
        <f>[1]Acc!D39</f>
        <v>WP175</v>
      </c>
      <c r="B43" s="7" t="s">
        <v>1215</v>
      </c>
      <c r="C43" s="20">
        <v>340</v>
      </c>
      <c r="J43" s="10" t="s">
        <v>1392</v>
      </c>
      <c r="K43" s="11">
        <v>8</v>
      </c>
      <c r="L43" s="10">
        <v>3.5</v>
      </c>
      <c r="R43" s="7" t="str">
        <f>IF(OR([1]Data!$B$3="A",[1]Data!$B$3="LH"),IF([1]Data!$B$4=$K43,$L43,""),"")</f>
        <v/>
      </c>
    </row>
    <row r="44" spans="1:18" x14ac:dyDescent="0.25">
      <c r="A44" s="7" t="str">
        <f>[1]Acc!D40</f>
        <v>WP200</v>
      </c>
      <c r="B44" s="7" t="s">
        <v>1215</v>
      </c>
      <c r="C44" s="20">
        <v>534</v>
      </c>
      <c r="J44" s="10" t="s">
        <v>1390</v>
      </c>
      <c r="K44" s="11">
        <v>1.5</v>
      </c>
      <c r="L44" s="10">
        <v>0.625</v>
      </c>
      <c r="M44" s="7" t="str">
        <f>IF(OR([1]Data!$B$3="h",[1]Data!$B$3="MH",[1]Data!$B$3="PH",[1]Data!$B$3="HM",[1]Data!$B$3="W"),IF([1]Data!$B$4=$K44,$L44,""),"")</f>
        <v/>
      </c>
    </row>
    <row r="45" spans="1:18" x14ac:dyDescent="0.25">
      <c r="A45" s="7" t="str">
        <f>[1]Acc!D41</f>
        <v>WP250</v>
      </c>
      <c r="B45" s="7" t="s">
        <v>1215</v>
      </c>
      <c r="C45" s="20">
        <v>384</v>
      </c>
      <c r="J45" s="10" t="s">
        <v>1390</v>
      </c>
      <c r="K45" s="11">
        <v>1.5</v>
      </c>
      <c r="L45" s="10">
        <v>1</v>
      </c>
      <c r="N45" s="7" t="str">
        <f>IF(OR([1]Data!$B$3="h",[1]Data!$B$3="MH",[1]Data!$B$3="PH",[1]Data!$B$3="HM",[1]Data!$B$3="W"),IF([1]Data!$B$4=$K45,$L45,""),"")</f>
        <v/>
      </c>
    </row>
    <row r="46" spans="1:18" x14ac:dyDescent="0.25">
      <c r="A46" s="7" t="str">
        <f>[1]Acc!D42</f>
        <v>WP300</v>
      </c>
      <c r="B46" s="7" t="s">
        <v>1215</v>
      </c>
      <c r="C46" s="20">
        <v>527</v>
      </c>
      <c r="J46" s="10" t="s">
        <v>1390</v>
      </c>
      <c r="K46" s="11">
        <v>2</v>
      </c>
      <c r="L46" s="10">
        <v>1</v>
      </c>
      <c r="M46" s="7" t="str">
        <f>IF(OR([1]Data!$B$3="h",[1]Data!$B$3="MH",[1]Data!$B$3="PH",[1]Data!$B$3="HM",[1]Data!$B$3="W"),IF([1]Data!$B$4=$K46,$L46,""),"")</f>
        <v/>
      </c>
    </row>
    <row r="47" spans="1:18" x14ac:dyDescent="0.25">
      <c r="A47" s="7" t="str">
        <f>[1]Acc!D43</f>
        <v>WP350</v>
      </c>
      <c r="B47" s="7" t="s">
        <v>1215</v>
      </c>
      <c r="C47" s="20">
        <v>673</v>
      </c>
      <c r="J47" s="10" t="s">
        <v>1390</v>
      </c>
      <c r="K47" s="11">
        <v>2</v>
      </c>
      <c r="L47" s="10">
        <v>1.375</v>
      </c>
      <c r="N47" s="7" t="str">
        <f>IF(OR([1]Data!$B$3="h",[1]Data!$B$3="MH",[1]Data!$B$3="PH",[1]Data!$B$3="HM",[1]Data!$B$3="W"),IF([1]Data!$B$4=$K47,$L47,""),"")</f>
        <v/>
      </c>
    </row>
    <row r="48" spans="1:18" x14ac:dyDescent="0.25">
      <c r="A48" s="7" t="str">
        <f>[1]Acc!D44</f>
        <v>WP400</v>
      </c>
      <c r="B48" s="7" t="s">
        <v>1215</v>
      </c>
      <c r="C48" s="20">
        <v>740</v>
      </c>
      <c r="J48" s="10" t="s">
        <v>1390</v>
      </c>
      <c r="K48" s="11">
        <v>2.5</v>
      </c>
      <c r="L48" s="10">
        <v>1</v>
      </c>
      <c r="M48" s="7" t="str">
        <f>IF(OR([1]Data!$B$3="h",[1]Data!$B$3="MH",[1]Data!$B$3="PH",[1]Data!$B$3="HM",[1]Data!$B$3="W"),IF([1]Data!$B$4=$K48,$L48,""),"")</f>
        <v/>
      </c>
    </row>
    <row r="49" spans="1:16" x14ac:dyDescent="0.25">
      <c r="A49" s="7" t="str">
        <f>[1]Acc!D45</f>
        <v>WP450</v>
      </c>
      <c r="B49" s="7" t="s">
        <v>1215</v>
      </c>
      <c r="C49" s="20">
        <v>872</v>
      </c>
      <c r="J49" s="10" t="s">
        <v>1390</v>
      </c>
      <c r="K49" s="11">
        <v>2.5</v>
      </c>
      <c r="L49" s="10">
        <v>1.375</v>
      </c>
      <c r="N49" s="7" t="str">
        <f>IF(OR([1]Data!$B$3="h",[1]Data!$B$3="MH",[1]Data!$B$3="PH",[1]Data!$B$3="HM",[1]Data!$B$3="W"),IF([1]Data!$B$4=$K49,$L49,""),"")</f>
        <v/>
      </c>
    </row>
    <row r="50" spans="1:16" x14ac:dyDescent="0.25">
      <c r="A50" s="7" t="str">
        <f>[1]Acc!D46</f>
        <v>WP500</v>
      </c>
      <c r="B50" s="7" t="s">
        <v>1215</v>
      </c>
      <c r="C50" s="20">
        <v>891</v>
      </c>
      <c r="J50" s="10" t="s">
        <v>1390</v>
      </c>
      <c r="K50" s="11">
        <v>2.5</v>
      </c>
      <c r="L50" s="10">
        <v>1.75</v>
      </c>
      <c r="O50" s="7" t="str">
        <f>IF(OR([1]Data!$B$3="h",[1]Data!$B$3="MH",[1]Data!$B$3="PH",[1]Data!$B$3="HM",[1]Data!$B$3="W"),IF([1]Data!$B$4=$K50,$L50,""),"")</f>
        <v/>
      </c>
    </row>
    <row r="51" spans="1:16" x14ac:dyDescent="0.25">
      <c r="A51" s="7" t="str">
        <f>[1]Acc!D47</f>
        <v>WP550</v>
      </c>
      <c r="B51" s="7" t="s">
        <v>1215</v>
      </c>
      <c r="C51" s="20">
        <v>1050</v>
      </c>
      <c r="J51" s="10" t="s">
        <v>1390</v>
      </c>
      <c r="K51" s="11">
        <v>3.25</v>
      </c>
      <c r="L51" s="10">
        <v>1.375</v>
      </c>
      <c r="M51" s="7" t="str">
        <f>IF(OR([1]Data!$B$3="h",[1]Data!$B$3="MH",[1]Data!$B$3="PH",[1]Data!$B$3="HM",[1]Data!$B$3="W"),IF([1]Data!$B$4=$K51,$L51,""),"")</f>
        <v/>
      </c>
    </row>
    <row r="52" spans="1:16" ht="12.5" x14ac:dyDescent="0.25">
      <c r="A52" s="6" t="s">
        <v>319</v>
      </c>
      <c r="B52" s="7" t="s">
        <v>320</v>
      </c>
      <c r="C52" s="20">
        <f>[1]Acc!I22</f>
        <v>80</v>
      </c>
      <c r="D52" s="14"/>
      <c r="J52" s="10" t="s">
        <v>1390</v>
      </c>
      <c r="K52" s="11">
        <v>3.25</v>
      </c>
      <c r="L52" s="10">
        <v>1.75</v>
      </c>
      <c r="N52" s="7" t="str">
        <f>IF(OR([1]Data!$B$3="h",[1]Data!$B$3="MH",[1]Data!$B$3="PH",[1]Data!$B$3="HM",[1]Data!$B$3="W"),IF([1]Data!$B$4=$K52,$L52,""),"")</f>
        <v/>
      </c>
    </row>
    <row r="53" spans="1:16" x14ac:dyDescent="0.25">
      <c r="A53" s="6" t="s">
        <v>321</v>
      </c>
      <c r="B53" s="7" t="s">
        <v>322</v>
      </c>
      <c r="C53" s="20">
        <f>[1]Acc!I23</f>
        <v>90</v>
      </c>
      <c r="J53" s="10" t="s">
        <v>1390</v>
      </c>
      <c r="K53" s="11">
        <v>3.25</v>
      </c>
      <c r="L53" s="10">
        <v>2</v>
      </c>
      <c r="O53" s="7" t="str">
        <f>IF(OR([1]Data!$B$3="h",[1]Data!$B$3="MH",[1]Data!$B$3="PH",[1]Data!$B$3="HM",[1]Data!$B$3="W"),IF([1]Data!$B$4=$K53,$L53,""),"")</f>
        <v/>
      </c>
    </row>
    <row r="54" spans="1:16" x14ac:dyDescent="0.25">
      <c r="A54" s="6" t="s">
        <v>323</v>
      </c>
      <c r="B54" s="7" t="s">
        <v>324</v>
      </c>
      <c r="C54" s="20">
        <f>[1]Acc!I24</f>
        <v>108</v>
      </c>
      <c r="J54" s="10" t="s">
        <v>1390</v>
      </c>
      <c r="K54" s="11">
        <v>4</v>
      </c>
      <c r="L54" s="10">
        <v>1.75</v>
      </c>
      <c r="M54" s="7" t="str">
        <f>IF(OR([1]Data!$B$3="h",[1]Data!$B$3="MH",[1]Data!$B$3="PH",[1]Data!$B$3="HM",[1]Data!$B$3="W"),IF([1]Data!$B$4=$K54,$L54,""),"")</f>
        <v/>
      </c>
    </row>
    <row r="55" spans="1:16" x14ac:dyDescent="0.25">
      <c r="A55" s="6" t="s">
        <v>325</v>
      </c>
      <c r="B55" s="7" t="s">
        <v>326</v>
      </c>
      <c r="C55" s="20">
        <f>[1]Acc!I25</f>
        <v>125</v>
      </c>
      <c r="J55" s="10" t="s">
        <v>1390</v>
      </c>
      <c r="K55" s="11">
        <v>4</v>
      </c>
      <c r="L55" s="10">
        <v>2</v>
      </c>
      <c r="N55" s="7" t="str">
        <f>IF(OR([1]Data!$B$3="h",[1]Data!$B$3="MH",[1]Data!$B$3="PH",[1]Data!$B$3="HM",[1]Data!$B$3="W"),IF([1]Data!$B$4=$K55,$L55,""),"")</f>
        <v/>
      </c>
    </row>
    <row r="56" spans="1:16" x14ac:dyDescent="0.25">
      <c r="A56" s="6" t="s">
        <v>327</v>
      </c>
      <c r="B56" s="7" t="s">
        <v>328</v>
      </c>
      <c r="C56" s="20">
        <f>[1]Acc!I26</f>
        <v>158</v>
      </c>
      <c r="J56" s="10" t="s">
        <v>1390</v>
      </c>
      <c r="K56" s="11">
        <v>4</v>
      </c>
      <c r="L56" s="10">
        <v>2.5</v>
      </c>
      <c r="O56" s="7" t="str">
        <f>IF(OR([1]Data!$B$3="h",[1]Data!$B$3="MH",[1]Data!$B$3="PH",[1]Data!$B$3="HM",[1]Data!$B$3="W"),IF([1]Data!$B$4=$K56,$L56,""),"")</f>
        <v/>
      </c>
    </row>
    <row r="57" spans="1:16" x14ac:dyDescent="0.25">
      <c r="A57" s="6" t="s">
        <v>329</v>
      </c>
      <c r="B57" s="7" t="s">
        <v>330</v>
      </c>
      <c r="C57" s="20">
        <f>[1]Acc!I27</f>
        <v>175</v>
      </c>
      <c r="J57" s="10" t="s">
        <v>1390</v>
      </c>
      <c r="K57" s="11">
        <v>5</v>
      </c>
      <c r="L57" s="10">
        <v>2</v>
      </c>
      <c r="M57" s="7" t="str">
        <f>IF(OR([1]Data!$B$3="h",[1]Data!$B$3="MH",[1]Data!$B$3="PH",[1]Data!$B$3="HM",[1]Data!$B$3="W"),IF([1]Data!$B$4=$K57,$L57,""),"")</f>
        <v/>
      </c>
    </row>
    <row r="58" spans="1:16" x14ac:dyDescent="0.25">
      <c r="A58" s="6" t="s">
        <v>331</v>
      </c>
      <c r="B58" s="7" t="s">
        <v>332</v>
      </c>
      <c r="C58" s="20">
        <f>[1]Acc!I28</f>
        <v>448</v>
      </c>
      <c r="J58" s="10" t="s">
        <v>1390</v>
      </c>
      <c r="K58" s="11">
        <v>5</v>
      </c>
      <c r="L58" s="10">
        <v>2.5</v>
      </c>
      <c r="N58" s="7" t="str">
        <f>IF(OR([1]Data!$B$3="h",[1]Data!$B$3="MH",[1]Data!$B$3="PH",[1]Data!$B$3="HM",[1]Data!$B$3="W"),IF([1]Data!$B$4=$K58,$L58,""),"")</f>
        <v/>
      </c>
    </row>
    <row r="59" spans="1:16" x14ac:dyDescent="0.25">
      <c r="A59" s="6" t="s">
        <v>333</v>
      </c>
      <c r="B59" s="7" t="s">
        <v>334</v>
      </c>
      <c r="C59" s="20">
        <f>[1]Acc!I29</f>
        <v>550</v>
      </c>
      <c r="J59" s="10" t="s">
        <v>1390</v>
      </c>
      <c r="K59" s="11">
        <v>5</v>
      </c>
      <c r="L59" s="10">
        <v>3</v>
      </c>
      <c r="O59" s="7" t="str">
        <f>IF(OR([1]Data!$B$3="h",[1]Data!$B$3="MH",[1]Data!$B$3="PH",[1]Data!$B$3="HM",[1]Data!$B$3="W"),IF([1]Data!$B$4=$K59,$L59,""),"")</f>
        <v/>
      </c>
    </row>
    <row r="60" spans="1:16" x14ac:dyDescent="0.25">
      <c r="A60" s="6" t="s">
        <v>335</v>
      </c>
      <c r="B60" s="7" t="s">
        <v>336</v>
      </c>
      <c r="C60" s="20">
        <f>[1]Acc!I30</f>
        <v>665</v>
      </c>
      <c r="J60" s="10" t="s">
        <v>1390</v>
      </c>
      <c r="K60" s="11">
        <v>5</v>
      </c>
      <c r="L60" s="10">
        <v>3.5</v>
      </c>
      <c r="P60" s="7" t="str">
        <f>IF(OR([1]Data!$B$3="h",[1]Data!$B$3="MH",[1]Data!$B$3="PH",[1]Data!$B$3="HM",[1]Data!$B$3="W"),IF([1]Data!$B$4=$K60,$L60,""),"")</f>
        <v/>
      </c>
    </row>
    <row r="61" spans="1:16" x14ac:dyDescent="0.25">
      <c r="A61" s="6" t="s">
        <v>337</v>
      </c>
      <c r="B61" s="7" t="s">
        <v>338</v>
      </c>
      <c r="C61" s="20">
        <f>[1]Acc!I31</f>
        <v>1466</v>
      </c>
      <c r="J61" s="10" t="s">
        <v>1390</v>
      </c>
      <c r="K61" s="11">
        <v>6</v>
      </c>
      <c r="L61" s="10">
        <v>2.5</v>
      </c>
      <c r="M61" s="7" t="str">
        <f>IF(OR([1]Data!$B$3="h",[1]Data!$B$3="MH",[1]Data!$B$3="PH",[1]Data!$B$3="HM",[1]Data!$B$3="W"),IF([1]Data!$B$4=$K61,$L61,""),"")</f>
        <v/>
      </c>
    </row>
    <row r="62" spans="1:16" x14ac:dyDescent="0.25">
      <c r="A62" s="6" t="s">
        <v>339</v>
      </c>
      <c r="B62" s="7" t="s">
        <v>340</v>
      </c>
      <c r="C62" s="20">
        <f>[1]Acc!I32</f>
        <v>1879</v>
      </c>
      <c r="J62" s="10" t="s">
        <v>1390</v>
      </c>
      <c r="K62" s="11">
        <v>6</v>
      </c>
      <c r="L62" s="10">
        <v>3</v>
      </c>
      <c r="N62" s="7" t="str">
        <f>IF(OR([1]Data!$B$3="h",[1]Data!$B$3="MH",[1]Data!$B$3="PH",[1]Data!$B$3="HM",[1]Data!$B$3="W"),IF([1]Data!$B$4=$K62,$L62,""),"")</f>
        <v/>
      </c>
    </row>
    <row r="63" spans="1:16" x14ac:dyDescent="0.25">
      <c r="A63" s="6" t="s">
        <v>349</v>
      </c>
      <c r="B63" s="7" t="s">
        <v>350</v>
      </c>
      <c r="C63" s="20">
        <f>[1]Acc!I5</f>
        <v>125</v>
      </c>
      <c r="J63" s="10" t="s">
        <v>1390</v>
      </c>
      <c r="K63" s="11">
        <v>6</v>
      </c>
      <c r="L63" s="10">
        <v>3.5</v>
      </c>
      <c r="O63" s="7" t="str">
        <f>IF(OR([1]Data!$B$3="h",[1]Data!$B$3="MH",[1]Data!$B$3="PH",[1]Data!$B$3="HM",[1]Data!$B$3="W"),IF([1]Data!$B$4=$K63,$L63,""),"")</f>
        <v/>
      </c>
    </row>
    <row r="64" spans="1:16" x14ac:dyDescent="0.25">
      <c r="A64" s="6" t="s">
        <v>351</v>
      </c>
      <c r="B64" s="7" t="s">
        <v>352</v>
      </c>
      <c r="C64" s="20">
        <f>[1]Acc!I6</f>
        <v>175</v>
      </c>
      <c r="J64" s="10" t="s">
        <v>1390</v>
      </c>
      <c r="K64" s="11">
        <v>6</v>
      </c>
      <c r="L64" s="10">
        <v>4</v>
      </c>
      <c r="P64" s="7" t="str">
        <f>IF(OR([1]Data!$B$3="h",[1]Data!$B$3="MH",[1]Data!$B$3="PH",[1]Data!$B$3="HM",[1]Data!$B$3="W"),IF([1]Data!$B$4=$K64,$L64,""),"")</f>
        <v/>
      </c>
    </row>
    <row r="65" spans="1:17" x14ac:dyDescent="0.25">
      <c r="A65" s="6" t="s">
        <v>353</v>
      </c>
      <c r="B65" s="7" t="s">
        <v>354</v>
      </c>
      <c r="C65" s="20">
        <f>[1]Acc!I7</f>
        <v>225</v>
      </c>
      <c r="J65" s="10" t="s">
        <v>1390</v>
      </c>
      <c r="K65" s="11">
        <v>7</v>
      </c>
      <c r="L65" s="10">
        <v>3</v>
      </c>
      <c r="M65" s="7" t="str">
        <f>IF(OR([1]Data!$B$3="h",[1]Data!$B$3="MH",[1]Data!$B$3="PH",[1]Data!$B$3="HM",[1]Data!$B$3="W"),IF([1]Data!$B$4=$K65,$L65,""),"")</f>
        <v/>
      </c>
    </row>
    <row r="66" spans="1:17" x14ac:dyDescent="0.25">
      <c r="A66" s="6" t="s">
        <v>355</v>
      </c>
      <c r="B66" s="7" t="s">
        <v>356</v>
      </c>
      <c r="C66" s="20">
        <f>[1]Acc!I8</f>
        <v>300</v>
      </c>
      <c r="J66" s="10" t="s">
        <v>1390</v>
      </c>
      <c r="K66" s="11">
        <v>7</v>
      </c>
      <c r="L66" s="10">
        <v>3.5</v>
      </c>
      <c r="N66" s="7" t="str">
        <f>IF(OR([1]Data!$B$3="h",[1]Data!$B$3="MH",[1]Data!$B$3="PH",[1]Data!$B$3="HM",[1]Data!$B$3="W"),IF([1]Data!$B$4=$K66,$L66,""),"")</f>
        <v/>
      </c>
    </row>
    <row r="67" spans="1:17" x14ac:dyDescent="0.25">
      <c r="A67" s="6" t="s">
        <v>357</v>
      </c>
      <c r="B67" s="7" t="s">
        <v>358</v>
      </c>
      <c r="C67" s="20">
        <f>[1]Acc!I9</f>
        <v>500</v>
      </c>
      <c r="J67" s="10" t="s">
        <v>1390</v>
      </c>
      <c r="K67" s="11">
        <v>7</v>
      </c>
      <c r="L67" s="10">
        <v>4</v>
      </c>
      <c r="O67" s="7" t="str">
        <f>IF(OR([1]Data!$B$3="h",[1]Data!$B$3="MH",[1]Data!$B$3="PH",[1]Data!$B$3="HM",[1]Data!$B$3="W"),IF([1]Data!$B$4=$K67,$L67,""),"")</f>
        <v/>
      </c>
    </row>
    <row r="68" spans="1:17" x14ac:dyDescent="0.25">
      <c r="A68" s="6" t="s">
        <v>359</v>
      </c>
      <c r="B68" s="7" t="s">
        <v>360</v>
      </c>
      <c r="C68" s="20">
        <f>[1]Acc!I10</f>
        <v>600</v>
      </c>
      <c r="J68" s="10" t="s">
        <v>1390</v>
      </c>
      <c r="K68" s="11">
        <v>7</v>
      </c>
      <c r="L68" s="10">
        <v>4.5</v>
      </c>
      <c r="P68" s="7" t="str">
        <f>IF(OR([1]Data!$B$3="h",[1]Data!$B$3="MH",[1]Data!$B$3="PH",[1]Data!$B$3="HM",[1]Data!$B$3="W"),IF([1]Data!$B$4=$K68,$L68,""),"")</f>
        <v/>
      </c>
    </row>
    <row r="69" spans="1:17" x14ac:dyDescent="0.25">
      <c r="A69" s="6" t="s">
        <v>361</v>
      </c>
      <c r="B69" s="7" t="s">
        <v>362</v>
      </c>
      <c r="C69" s="20">
        <f>[1]Acc!I11</f>
        <v>750</v>
      </c>
      <c r="J69" s="10" t="s">
        <v>1390</v>
      </c>
      <c r="K69" s="11">
        <v>7</v>
      </c>
      <c r="L69" s="10">
        <v>5</v>
      </c>
      <c r="Q69" s="7" t="str">
        <f>IF(OR([1]Data!$B$3="h",[1]Data!$B$3="MH",[1]Data!$B$3="PH",[1]Data!$B$3="HM",[1]Data!$B$3="W"),IF([1]Data!$B$4=$K69,$L69,""),"")</f>
        <v/>
      </c>
    </row>
    <row r="70" spans="1:17" x14ac:dyDescent="0.25">
      <c r="A70" s="6" t="s">
        <v>363</v>
      </c>
      <c r="B70" s="7" t="s">
        <v>364</v>
      </c>
      <c r="C70" s="20">
        <f>[1]Acc!I12</f>
        <v>1200</v>
      </c>
      <c r="J70" s="10" t="s">
        <v>1390</v>
      </c>
      <c r="K70" s="11">
        <v>8</v>
      </c>
      <c r="L70" s="10">
        <v>3.5</v>
      </c>
      <c r="M70" s="7" t="str">
        <f>IF(OR([1]Data!$B$3="h",[1]Data!$B$3="MH",[1]Data!$B$3="PH",[1]Data!$B$3="HM",[1]Data!$B$3="W"),IF([1]Data!$B$4=$K70,$L70,""),"")</f>
        <v/>
      </c>
    </row>
    <row r="71" spans="1:17" x14ac:dyDescent="0.25">
      <c r="A71" s="6" t="s">
        <v>365</v>
      </c>
      <c r="B71" s="7" t="s">
        <v>366</v>
      </c>
      <c r="C71" s="20">
        <f>[1]Acc!I13</f>
        <v>2000</v>
      </c>
      <c r="J71" s="10" t="s">
        <v>1390</v>
      </c>
      <c r="K71" s="11">
        <v>8</v>
      </c>
      <c r="L71" s="10">
        <v>4</v>
      </c>
      <c r="N71" s="7" t="str">
        <f>IF(OR([1]Data!$B$3="h",[1]Data!$B$3="MH",[1]Data!$B$3="PH",[1]Data!$B$3="HM",[1]Data!$B$3="W"),IF([1]Data!$B$4=$K71,$L71,""),"")</f>
        <v/>
      </c>
    </row>
    <row r="72" spans="1:17" x14ac:dyDescent="0.25">
      <c r="A72" s="6" t="s">
        <v>381</v>
      </c>
      <c r="B72" s="7" t="s">
        <v>382</v>
      </c>
      <c r="C72" s="20">
        <f>[1]Acc!E5</f>
        <v>60</v>
      </c>
      <c r="J72" s="10" t="s">
        <v>1390</v>
      </c>
      <c r="K72" s="11">
        <v>8</v>
      </c>
      <c r="L72" s="10">
        <v>4.5</v>
      </c>
      <c r="O72" s="7" t="str">
        <f>IF(OR([1]Data!$B$3="h",[1]Data!$B$3="MH",[1]Data!$B$3="PH",[1]Data!$B$3="HM",[1]Data!$B$3="W"),IF([1]Data!$B$4=$K72,$L72,""),"")</f>
        <v/>
      </c>
    </row>
    <row r="73" spans="1:17" x14ac:dyDescent="0.25">
      <c r="A73" s="6" t="s">
        <v>383</v>
      </c>
      <c r="B73" s="7" t="s">
        <v>382</v>
      </c>
      <c r="C73" s="20">
        <f>[1]Acc!E6</f>
        <v>90</v>
      </c>
      <c r="J73" s="10" t="s">
        <v>1390</v>
      </c>
      <c r="K73" s="11">
        <v>8</v>
      </c>
      <c r="L73" s="10">
        <v>5</v>
      </c>
      <c r="P73" s="7" t="str">
        <f>IF(OR([1]Data!$B$3="h",[1]Data!$B$3="MH",[1]Data!$B$3="PH",[1]Data!$B$3="HM",[1]Data!$B$3="W"),IF([1]Data!$B$4=$K73,$L73,""),"")</f>
        <v/>
      </c>
    </row>
    <row r="74" spans="1:17" x14ac:dyDescent="0.25">
      <c r="A74" s="6" t="s">
        <v>384</v>
      </c>
      <c r="B74" s="7" t="s">
        <v>382</v>
      </c>
      <c r="C74" s="20">
        <f>[1]Acc!E7</f>
        <v>120</v>
      </c>
      <c r="J74" s="10" t="s">
        <v>1390</v>
      </c>
      <c r="K74" s="11">
        <v>8</v>
      </c>
      <c r="L74" s="10">
        <v>5.5</v>
      </c>
      <c r="Q74" s="7" t="str">
        <f>IF(OR([1]Data!$B$3="h",[1]Data!$B$3="MH",[1]Data!$B$3="PH",[1]Data!$B$3="HM",[1]Data!$B$3="W"),IF([1]Data!$B$4=$K74,$L74,""),"")</f>
        <v/>
      </c>
    </row>
    <row r="75" spans="1:17" x14ac:dyDescent="0.25">
      <c r="A75" s="6" t="s">
        <v>385</v>
      </c>
      <c r="B75" s="7" t="s">
        <v>382</v>
      </c>
      <c r="C75" s="20">
        <f>[1]Acc!E8</f>
        <v>170</v>
      </c>
      <c r="J75" s="10" t="s">
        <v>1399</v>
      </c>
      <c r="K75" s="11">
        <v>2.5</v>
      </c>
      <c r="L75" s="10">
        <v>0.625</v>
      </c>
      <c r="M75" s="7" t="str">
        <f>IF([1]Data!$B$3="VA",IF([1]Data!$B$4=$K75,$L75,""),"")</f>
        <v/>
      </c>
    </row>
    <row r="76" spans="1:17" x14ac:dyDescent="0.25">
      <c r="A76" s="6" t="s">
        <v>386</v>
      </c>
      <c r="B76" s="7" t="s">
        <v>382</v>
      </c>
      <c r="C76" s="20">
        <f>[1]Acc!E9</f>
        <v>350</v>
      </c>
      <c r="J76" s="10" t="s">
        <v>1399</v>
      </c>
      <c r="K76" s="11">
        <v>3.25</v>
      </c>
      <c r="L76" s="10">
        <v>1</v>
      </c>
      <c r="M76" s="7" t="str">
        <f>IF([1]Data!$B$3="VA",IF([1]Data!$B$4=$K76,$L76,""),"")</f>
        <v/>
      </c>
    </row>
    <row r="77" spans="1:17" x14ac:dyDescent="0.25">
      <c r="A77" s="6" t="s">
        <v>387</v>
      </c>
      <c r="B77" s="7" t="s">
        <v>382</v>
      </c>
      <c r="C77" s="20">
        <f>[1]Acc!E10</f>
        <v>410</v>
      </c>
      <c r="J77" s="10" t="s">
        <v>1399</v>
      </c>
      <c r="K77" s="11">
        <v>4</v>
      </c>
      <c r="L77" s="10">
        <v>1</v>
      </c>
      <c r="M77" s="7" t="str">
        <f>IF([1]Data!$B$3="VA",IF([1]Data!$B$4=$K77,$L77,""),"")</f>
        <v/>
      </c>
    </row>
    <row r="78" spans="1:17" x14ac:dyDescent="0.25">
      <c r="A78" s="6" t="s">
        <v>388</v>
      </c>
      <c r="B78" s="7" t="s">
        <v>382</v>
      </c>
      <c r="C78" s="20">
        <f>[1]Acc!E11</f>
        <v>570</v>
      </c>
      <c r="J78" s="10" t="s">
        <v>1399</v>
      </c>
      <c r="K78" s="11">
        <v>5</v>
      </c>
      <c r="L78" s="10">
        <v>1</v>
      </c>
      <c r="M78" s="7" t="str">
        <f>IF([1]Data!$B$3="VA",IF([1]Data!$B$4=$K78,$L78,""),"")</f>
        <v/>
      </c>
    </row>
    <row r="79" spans="1:17" x14ac:dyDescent="0.25">
      <c r="A79" s="6" t="s">
        <v>389</v>
      </c>
      <c r="B79" s="7" t="s">
        <v>382</v>
      </c>
      <c r="C79" s="20">
        <f>[1]Acc!E12</f>
        <v>800</v>
      </c>
      <c r="J79" s="10" t="s">
        <v>1399</v>
      </c>
      <c r="K79" s="11">
        <v>6</v>
      </c>
      <c r="L79" s="10">
        <v>1</v>
      </c>
      <c r="M79" s="7" t="str">
        <f>IF([1]Data!$B$3="VA",IF([1]Data!$B$4=$K79,$L79,""),"")</f>
        <v/>
      </c>
    </row>
    <row r="80" spans="1:17" x14ac:dyDescent="0.25">
      <c r="A80" s="6" t="s">
        <v>390</v>
      </c>
      <c r="B80" s="7" t="s">
        <v>382</v>
      </c>
      <c r="C80" s="20">
        <f>[1]Acc!E13</f>
        <v>1500</v>
      </c>
      <c r="J80" s="10" t="s">
        <v>1399</v>
      </c>
      <c r="K80" s="11">
        <v>7</v>
      </c>
      <c r="L80" s="10">
        <v>1</v>
      </c>
      <c r="M80" s="7" t="str">
        <f>IF([1]Data!$B$3="VA",IF([1]Data!$B$4=$K80,$L80,""),"")</f>
        <v/>
      </c>
    </row>
    <row r="81" spans="1:16" x14ac:dyDescent="0.25">
      <c r="A81" s="6" t="s">
        <v>391</v>
      </c>
      <c r="B81" s="7" t="s">
        <v>382</v>
      </c>
      <c r="C81" s="20">
        <f>[1]Acc!E14</f>
        <v>1700</v>
      </c>
      <c r="J81" s="10" t="s">
        <v>1399</v>
      </c>
      <c r="K81" s="11">
        <v>8</v>
      </c>
      <c r="L81" s="10">
        <v>1</v>
      </c>
      <c r="M81" s="7" t="str">
        <f>IF([1]Data!$B$3="VA",IF([1]Data!$B$4=$K81,$L81,""),"")</f>
        <v/>
      </c>
    </row>
    <row r="82" spans="1:16" x14ac:dyDescent="0.25">
      <c r="A82" s="6" t="s">
        <v>392</v>
      </c>
      <c r="B82" s="7" t="s">
        <v>393</v>
      </c>
      <c r="C82" s="20">
        <f>[1]Acc!G5</f>
        <v>40</v>
      </c>
      <c r="J82" s="10" t="s">
        <v>1399</v>
      </c>
      <c r="K82" s="11">
        <v>10</v>
      </c>
      <c r="L82" s="10">
        <v>1</v>
      </c>
      <c r="M82" s="7" t="str">
        <f>IF([1]Data!$B$3="VA",IF([1]Data!$B$4=$K82,$L82,""),"")</f>
        <v/>
      </c>
    </row>
    <row r="83" spans="1:16" x14ac:dyDescent="0.25">
      <c r="A83" s="6" t="s">
        <v>394</v>
      </c>
      <c r="B83" s="7" t="s">
        <v>395</v>
      </c>
      <c r="C83" s="20">
        <f>[1]Acc!G6</f>
        <v>45</v>
      </c>
      <c r="J83" s="10" t="s">
        <v>1399</v>
      </c>
      <c r="K83" s="11">
        <v>12</v>
      </c>
      <c r="L83" s="10">
        <v>1.375</v>
      </c>
      <c r="M83" s="7" t="str">
        <f>IF([1]Data!$B$3="VA",IF([1]Data!$B$4=$K83,$L83,""),"")</f>
        <v/>
      </c>
    </row>
    <row r="84" spans="1:16" x14ac:dyDescent="0.25">
      <c r="A84" s="6" t="s">
        <v>396</v>
      </c>
      <c r="B84" s="7" t="s">
        <v>397</v>
      </c>
      <c r="C84" s="20">
        <f>[1]Acc!G7</f>
        <v>50</v>
      </c>
      <c r="J84" s="10" t="s">
        <v>1399</v>
      </c>
      <c r="K84" s="11">
        <v>14</v>
      </c>
      <c r="L84" s="10">
        <v>1.375</v>
      </c>
      <c r="M84" s="7" t="str">
        <f>IF([1]Data!$B$3="VA",IF([1]Data!$B$4=$K84,$L84,""),"")</f>
        <v/>
      </c>
    </row>
    <row r="85" spans="1:16" x14ac:dyDescent="0.25">
      <c r="A85" s="6" t="s">
        <v>398</v>
      </c>
      <c r="B85" s="7" t="s">
        <v>399</v>
      </c>
      <c r="C85" s="20">
        <f>[1]Acc!G8</f>
        <v>60</v>
      </c>
      <c r="J85" s="10" t="s">
        <v>1399</v>
      </c>
      <c r="K85" s="11">
        <v>16</v>
      </c>
      <c r="L85" s="10">
        <v>1.75</v>
      </c>
      <c r="M85" s="7" t="str">
        <f>IF([1]Data!$B$3="VA",IF([1]Data!$B$4=$K85,$L85,""),"")</f>
        <v/>
      </c>
    </row>
    <row r="86" spans="1:16" x14ac:dyDescent="0.25">
      <c r="A86" s="6" t="s">
        <v>400</v>
      </c>
      <c r="B86" s="7" t="s">
        <v>401</v>
      </c>
      <c r="C86" s="20">
        <f>[1]Acc!G9</f>
        <v>70</v>
      </c>
      <c r="J86" s="10" t="s">
        <v>1399</v>
      </c>
      <c r="K86" s="11">
        <v>18</v>
      </c>
      <c r="L86" s="10">
        <v>2</v>
      </c>
      <c r="M86" s="7" t="str">
        <f>IF([1]Data!$B$3="VA",IF([1]Data!$B$4=$K86,$L86,""),"")</f>
        <v/>
      </c>
    </row>
    <row r="87" spans="1:16" x14ac:dyDescent="0.25">
      <c r="A87" s="6" t="s">
        <v>402</v>
      </c>
      <c r="B87" s="7" t="s">
        <v>403</v>
      </c>
      <c r="C87" s="20">
        <f>[1]Acc!G10</f>
        <v>110</v>
      </c>
      <c r="J87" s="10" t="s">
        <v>1399</v>
      </c>
      <c r="K87" s="11">
        <v>20</v>
      </c>
      <c r="L87" s="10">
        <v>2</v>
      </c>
      <c r="M87" s="7" t="str">
        <f>IF([1]Data!$B$3="VA",IF([1]Data!$B$4=$K87,$L87,""),"")</f>
        <v/>
      </c>
    </row>
    <row r="88" spans="1:16" x14ac:dyDescent="0.25">
      <c r="A88" s="6" t="s">
        <v>404</v>
      </c>
      <c r="B88" s="7" t="s">
        <v>405</v>
      </c>
      <c r="C88" s="20">
        <f>[1]Acc!G11</f>
        <v>140</v>
      </c>
      <c r="J88" s="10" t="s">
        <v>1399</v>
      </c>
      <c r="K88" s="11">
        <v>22</v>
      </c>
      <c r="L88" s="10">
        <v>2.5</v>
      </c>
      <c r="M88" s="7" t="str">
        <f>IF([1]Data!$B$3="VA",IF([1]Data!$B$4=$K88,$L88,""),"")</f>
        <v/>
      </c>
    </row>
    <row r="89" spans="1:16" x14ac:dyDescent="0.25">
      <c r="A89" s="6" t="s">
        <v>406</v>
      </c>
      <c r="B89" s="7" t="s">
        <v>407</v>
      </c>
      <c r="C89" s="20">
        <f>[1]Acc!G12</f>
        <v>160</v>
      </c>
      <c r="J89" s="10" t="s">
        <v>1390</v>
      </c>
      <c r="K89" s="15">
        <v>10</v>
      </c>
      <c r="L89" s="16">
        <v>4.5</v>
      </c>
      <c r="M89" s="7" t="str">
        <f>IF(OR([1]Data!$B$3="h",[1]Data!$B$3="MH",[1]Data!$B$3="PH",[1]Data!$B$3="HM",[1]Data!$B$3="W"),IF([1]Data!$B$4=$K89,$L89,""),"")</f>
        <v/>
      </c>
    </row>
    <row r="90" spans="1:16" x14ac:dyDescent="0.25">
      <c r="A90" s="6" t="s">
        <v>408</v>
      </c>
      <c r="B90" s="7" t="s">
        <v>409</v>
      </c>
      <c r="C90" s="20">
        <f>[1]Acc!G13</f>
        <v>190</v>
      </c>
      <c r="G90" s="7" t="s">
        <v>1132</v>
      </c>
      <c r="H90" s="7">
        <v>1967</v>
      </c>
      <c r="J90" s="10" t="s">
        <v>1390</v>
      </c>
      <c r="K90" s="15">
        <v>10</v>
      </c>
      <c r="L90" s="16">
        <v>5</v>
      </c>
      <c r="N90" s="7" t="str">
        <f>IF(OR([1]Data!$B$3="h",[1]Data!$B$3="MH",[1]Data!$B$3="PH",[1]Data!$B$3="HM",[1]Data!$B$3="W"),IF([1]Data!$B$4=$K90,$L90,""),"")</f>
        <v/>
      </c>
    </row>
    <row r="91" spans="1:16" x14ac:dyDescent="0.25">
      <c r="A91" s="6" t="s">
        <v>410</v>
      </c>
      <c r="B91" s="7" t="s">
        <v>411</v>
      </c>
      <c r="C91" s="20">
        <f>[1]Acc!G14</f>
        <v>390</v>
      </c>
      <c r="G91" s="7" t="s">
        <v>1069</v>
      </c>
      <c r="H91" s="7">
        <v>1750</v>
      </c>
      <c r="J91" s="10" t="s">
        <v>1390</v>
      </c>
      <c r="K91" s="15">
        <v>10</v>
      </c>
      <c r="L91" s="16">
        <v>5.5</v>
      </c>
      <c r="O91" s="7" t="str">
        <f>IF(OR([1]Data!$B$3="h",[1]Data!$B$3="MH",[1]Data!$B$3="PH",[1]Data!$B$3="HM",[1]Data!$B$3="W"),IF([1]Data!$B$4=$K91,$L91,""),"")</f>
        <v/>
      </c>
    </row>
    <row r="92" spans="1:16" x14ac:dyDescent="0.25">
      <c r="A92" s="6" t="s">
        <v>412</v>
      </c>
      <c r="B92" s="7" t="s">
        <v>413</v>
      </c>
      <c r="C92" s="20">
        <f>[1]Acc!G15</f>
        <v>430</v>
      </c>
      <c r="G92" s="7" t="s">
        <v>986</v>
      </c>
      <c r="H92" s="7">
        <v>6587</v>
      </c>
      <c r="J92" s="10" t="s">
        <v>1390</v>
      </c>
      <c r="K92" s="15">
        <v>10</v>
      </c>
      <c r="L92" s="16">
        <v>7</v>
      </c>
      <c r="P92" s="7" t="str">
        <f>IF(OR([1]Data!$B$3="h",[1]Data!$B$3="MH",[1]Data!$B$3="PH",[1]Data!$B$3="HM",[1]Data!$B$3="W"),IF([1]Data!$B$4=$K92,$L92,""),"")</f>
        <v/>
      </c>
    </row>
    <row r="93" spans="1:16" x14ac:dyDescent="0.25">
      <c r="A93" s="6" t="s">
        <v>414</v>
      </c>
      <c r="B93" s="7" t="s">
        <v>415</v>
      </c>
      <c r="C93" s="20">
        <f>[1]Acc!G16</f>
        <v>550</v>
      </c>
      <c r="J93" s="10" t="s">
        <v>1390</v>
      </c>
      <c r="K93" s="15">
        <v>12</v>
      </c>
      <c r="L93" s="16">
        <v>5.5</v>
      </c>
      <c r="M93" s="7" t="str">
        <f>IF(OR([1]Data!$B$3="h",[1]Data!$B$3="MH",[1]Data!$B$3="PH",[1]Data!$B$3="HM",[1]Data!$B$3="W"),IF([1]Data!$B$4=$K93,$L93,""),"")</f>
        <v/>
      </c>
    </row>
    <row r="94" spans="1:16" x14ac:dyDescent="0.25">
      <c r="A94" s="6" t="s">
        <v>416</v>
      </c>
      <c r="B94" s="7" t="s">
        <v>417</v>
      </c>
      <c r="C94" s="20">
        <f>[1]Acc!G17</f>
        <v>1100</v>
      </c>
      <c r="J94" s="10" t="s">
        <v>1390</v>
      </c>
      <c r="K94" s="15">
        <v>12</v>
      </c>
      <c r="L94" s="16">
        <v>7</v>
      </c>
      <c r="N94" s="7" t="str">
        <f>IF(OR([1]Data!$B$3="h",[1]Data!$B$3="MH",[1]Data!$B$3="PH",[1]Data!$B$3="HM",[1]Data!$B$3="W"),IF([1]Data!$B$4=$K94,$L94,""),"")</f>
        <v/>
      </c>
    </row>
    <row r="95" spans="1:16" x14ac:dyDescent="0.25">
      <c r="A95" s="6" t="s">
        <v>418</v>
      </c>
      <c r="B95" s="7" t="s">
        <v>419</v>
      </c>
      <c r="C95" s="20">
        <f>[1]Acc!G18</f>
        <v>1300</v>
      </c>
      <c r="J95" s="10" t="s">
        <v>1390</v>
      </c>
      <c r="K95" s="15">
        <v>12</v>
      </c>
      <c r="L95" s="16">
        <v>8</v>
      </c>
      <c r="O95" s="7" t="str">
        <f>IF(OR([1]Data!$B$3="h",[1]Data!$B$3="MH",[1]Data!$B$3="PH",[1]Data!$B$3="HM",[1]Data!$B$3="W"),IF([1]Data!$B$4=$K95,$L95,""),"")</f>
        <v/>
      </c>
    </row>
    <row r="96" spans="1:16" x14ac:dyDescent="0.25">
      <c r="A96" s="6" t="s">
        <v>420</v>
      </c>
      <c r="B96" s="7" t="s">
        <v>421</v>
      </c>
      <c r="C96" s="20">
        <f>[1]Acc!G19</f>
        <v>1450</v>
      </c>
      <c r="J96" s="10" t="s">
        <v>1390</v>
      </c>
      <c r="K96" s="15">
        <v>14</v>
      </c>
      <c r="L96" s="16">
        <v>8</v>
      </c>
      <c r="M96" s="7" t="str">
        <f>IF(OR([1]Data!$B$3="h",[1]Data!$B$3="MH",[1]Data!$B$3="PH",[1]Data!$B$3="HM",[1]Data!$B$3="W"),IF([1]Data!$B$4=$K96,$L96,""),"")</f>
        <v/>
      </c>
    </row>
    <row r="97" spans="1:17" x14ac:dyDescent="0.25">
      <c r="A97" s="6" t="s">
        <v>814</v>
      </c>
      <c r="B97" s="7" t="s">
        <v>815</v>
      </c>
      <c r="C97" s="20">
        <f>[1]Acc!K36</f>
        <v>6</v>
      </c>
      <c r="J97" s="10" t="s">
        <v>1390</v>
      </c>
      <c r="K97" s="15">
        <v>14</v>
      </c>
      <c r="L97" s="16">
        <v>10</v>
      </c>
      <c r="N97" s="7" t="str">
        <f>IF(OR([1]Data!$B$3="h",[1]Data!$B$3="MH",[1]Data!$B$3="PH",[1]Data!$B$3="HM",[1]Data!$B$3="W"),IF([1]Data!$B$4=$K97,$L97,""),"")</f>
        <v/>
      </c>
    </row>
    <row r="98" spans="1:17" x14ac:dyDescent="0.25">
      <c r="A98" s="6" t="s">
        <v>816</v>
      </c>
      <c r="B98" s="7" t="s">
        <v>817</v>
      </c>
      <c r="C98" s="20">
        <f>[1]Acc!K37</f>
        <v>7</v>
      </c>
      <c r="I98" s="7" t="s">
        <v>1367</v>
      </c>
      <c r="J98" s="10" t="s">
        <v>1390</v>
      </c>
      <c r="K98" s="15">
        <v>16</v>
      </c>
      <c r="L98" s="16">
        <v>8</v>
      </c>
      <c r="M98" s="7" t="str">
        <f>IF(OR([1]Data!$B$3="h",[1]Data!$B$3="MH",[1]Data!$B$3="PH",[1]Data!$B$3="HM",[1]Data!$B$3="W"),IF([1]Data!$B$4=$K98,$L98,""),"")</f>
        <v/>
      </c>
    </row>
    <row r="99" spans="1:17" x14ac:dyDescent="0.25">
      <c r="A99" s="6" t="s">
        <v>818</v>
      </c>
      <c r="B99" s="7" t="s">
        <v>819</v>
      </c>
      <c r="C99" s="20">
        <f>[1]Acc!K38</f>
        <v>10</v>
      </c>
      <c r="I99" s="7" t="str">
        <f>IF(AND([1]Data!B$4=1.5,[1]Data!B$8&gt;35,[1]Data!B$8&lt;70),1,IF(AND([1]Data!B$4=1.5,[1]Data!B$8&gt;70,[1]Data!B$8&lt;120),2,IF(AND([1]Data!B$4=1.5,[1]Data!B$8&gt;120),3,"")))</f>
        <v/>
      </c>
      <c r="J99" s="10" t="s">
        <v>1390</v>
      </c>
      <c r="K99" s="15">
        <v>16</v>
      </c>
      <c r="L99" s="16">
        <v>10</v>
      </c>
      <c r="N99" s="7" t="str">
        <f>IF(OR([1]Data!$B$3="h",[1]Data!$B$3="MH",[1]Data!$B$3="PH",[1]Data!$B$3="HM",[1]Data!$B$3="W"),IF([1]Data!$B$4=$K99,$L99,""),"")</f>
        <v/>
      </c>
    </row>
    <row r="100" spans="1:17" x14ac:dyDescent="0.25">
      <c r="A100" s="6" t="s">
        <v>820</v>
      </c>
      <c r="B100" s="7" t="s">
        <v>821</v>
      </c>
      <c r="C100" s="20">
        <f>[1]Acc!K39</f>
        <v>11</v>
      </c>
      <c r="I100" s="7" t="str">
        <f>IF(AND([1]Data!B$4=2,[1]Data!B$8&gt;50,[1]Data!B$8&lt;90),1,IF(AND([1]Data!B$4=2,[1]Data!B$8&gt;90,[1]Data!B$8&lt;140),2,IF(AND([1]Data!B$4=2,[1]Data!B$8&gt;140),3,"")))</f>
        <v/>
      </c>
      <c r="J100" s="10" t="s">
        <v>1390</v>
      </c>
      <c r="K100" s="15">
        <v>18</v>
      </c>
      <c r="L100" s="16">
        <v>8</v>
      </c>
      <c r="M100" s="7" t="str">
        <f>IF(OR([1]Data!$B$3="h",[1]Data!$B$3="MH",[1]Data!$B$3="PH",[1]Data!$B$3="HM",[1]Data!$B$3="W"),IF([1]Data!$B$4=$K100,$L100,""),"")</f>
        <v/>
      </c>
    </row>
    <row r="101" spans="1:17" x14ac:dyDescent="0.25">
      <c r="A101" s="6" t="s">
        <v>822</v>
      </c>
      <c r="B101" s="7" t="s">
        <v>823</v>
      </c>
      <c r="C101" s="20">
        <f>[1]Acc!K40</f>
        <v>12</v>
      </c>
      <c r="I101" s="7" t="str">
        <f>IF(AND([1]Data!B$4=3.25,[1]Data!B$8&gt;70,[1]Data!B$8&lt;130),1,IF(AND([1]Data!B$4=3.25,[1]Data!B$8&gt;130),2,""))</f>
        <v/>
      </c>
      <c r="J101" s="10" t="s">
        <v>1390</v>
      </c>
      <c r="K101" s="15">
        <v>18</v>
      </c>
      <c r="L101" s="16">
        <v>10</v>
      </c>
      <c r="N101" s="7" t="str">
        <f>IF(OR([1]Data!$B$3="h",[1]Data!$B$3="MH",[1]Data!$B$3="PH",[1]Data!$B$3="HM",[1]Data!$B$3="W"),IF([1]Data!$B$4=$K101,$L101,""),"")</f>
        <v/>
      </c>
    </row>
    <row r="102" spans="1:17" x14ac:dyDescent="0.25">
      <c r="A102" s="6" t="s">
        <v>824</v>
      </c>
      <c r="B102" s="7" t="s">
        <v>825</v>
      </c>
      <c r="C102" s="20">
        <f>[1]Acc!K41</f>
        <v>13</v>
      </c>
      <c r="I102" s="7" t="str">
        <f>IF(AND([1]Data!B$4=4,[1]Data!B$8&gt;90,[1]Data!B$8&lt;150),1,IF(AND([1]Data!B$4=4,[1]Data!B$8&gt;150),2,""))</f>
        <v/>
      </c>
      <c r="J102" s="10" t="s">
        <v>1390</v>
      </c>
      <c r="K102" s="15">
        <v>20</v>
      </c>
      <c r="L102" s="16">
        <v>10</v>
      </c>
      <c r="M102" s="7" t="str">
        <f>IF(OR([1]Data!$B$3="h",[1]Data!$B$3="MH",[1]Data!$B$3="PH",[1]Data!$B$3="HM",[1]Data!$B$3="W"),IF([1]Data!$B$4=$K102,$L102,""),"")</f>
        <v/>
      </c>
    </row>
    <row r="103" spans="1:17" x14ac:dyDescent="0.25">
      <c r="A103" s="6" t="s">
        <v>826</v>
      </c>
      <c r="B103" s="7" t="s">
        <v>827</v>
      </c>
      <c r="C103" s="20">
        <f>[1]Acc!K42</f>
        <v>15</v>
      </c>
      <c r="I103" s="7" t="str">
        <f>IF(AND([1]Data!B$4=5,[1]Data!B$8&gt;100),1,"")</f>
        <v/>
      </c>
      <c r="J103" s="10" t="s">
        <v>1392</v>
      </c>
      <c r="K103" s="7">
        <v>10</v>
      </c>
      <c r="L103" s="7">
        <v>1.75</v>
      </c>
      <c r="M103" s="7" t="str">
        <f>IF(OR([1]Data!$B$3="A",[1]Data!$B$3="LH"),IF([1]Data!$B$4=$K103,$L103,""),"")</f>
        <v/>
      </c>
    </row>
    <row r="104" spans="1:17" x14ac:dyDescent="0.25">
      <c r="A104" s="6" t="s">
        <v>828</v>
      </c>
      <c r="B104" s="7" t="s">
        <v>829</v>
      </c>
      <c r="C104" s="20">
        <f>[1]Acc!K43</f>
        <v>30</v>
      </c>
      <c r="I104" s="7" t="str">
        <f>IF(AND([1]Data!B$4=6,[1]Data!B$8&gt;120),1,"")</f>
        <v/>
      </c>
      <c r="J104" s="10" t="s">
        <v>1392</v>
      </c>
      <c r="K104" s="7">
        <v>10</v>
      </c>
      <c r="L104" s="7">
        <v>2</v>
      </c>
      <c r="N104" s="7" t="str">
        <f>IF(OR([1]Data!$B$3="A",[1]Data!$B$3="LH"),IF([1]Data!$B$4=$K104,$L104,""),"")</f>
        <v/>
      </c>
    </row>
    <row r="105" spans="1:17" x14ac:dyDescent="0.25">
      <c r="A105" s="6" t="s">
        <v>830</v>
      </c>
      <c r="B105" s="7" t="s">
        <v>831</v>
      </c>
      <c r="C105" s="20">
        <f>[1]Acc!K44</f>
        <v>51</v>
      </c>
      <c r="I105" s="7" t="str">
        <f>IF(AND([1]Data!B$4=7,[1]Data!B$8&gt;140),1,"")</f>
        <v/>
      </c>
      <c r="J105" s="10" t="s">
        <v>1392</v>
      </c>
      <c r="K105" s="7">
        <v>10</v>
      </c>
      <c r="L105" s="7">
        <v>2.5</v>
      </c>
      <c r="O105" s="7" t="str">
        <f>IF(OR([1]Data!B$3="A",[1]Data!$B$3="LH"),IF([1]Data!B$4=K105,L105,""),"")</f>
        <v/>
      </c>
    </row>
    <row r="106" spans="1:17" x14ac:dyDescent="0.25">
      <c r="A106" s="6" t="s">
        <v>832</v>
      </c>
      <c r="B106" s="7" t="s">
        <v>833</v>
      </c>
      <c r="C106" s="20">
        <f>[1]Acc!K45</f>
        <v>121</v>
      </c>
      <c r="I106" s="7" t="str">
        <f>IF(AND([1]Data!B$4=8,[1]Data!B$8&gt;160),1,"")</f>
        <v/>
      </c>
      <c r="J106" s="10" t="s">
        <v>1392</v>
      </c>
      <c r="K106" s="7">
        <v>10</v>
      </c>
      <c r="L106" s="7">
        <v>3</v>
      </c>
      <c r="P106" s="7" t="str">
        <f>IF(OR([1]Data!B$3="A",[1]Data!$B$3="LH"),IF([1]Data!B$4=K106,L106,""),"")</f>
        <v/>
      </c>
    </row>
    <row r="107" spans="1:17" x14ac:dyDescent="0.25">
      <c r="A107" s="6" t="s">
        <v>834</v>
      </c>
      <c r="B107" s="7" t="s">
        <v>835</v>
      </c>
      <c r="C107" s="20">
        <f>[1]Acc!K46</f>
        <v>159</v>
      </c>
      <c r="I107" s="7">
        <f>SUM(I99:I106)</f>
        <v>0</v>
      </c>
      <c r="J107" s="10" t="s">
        <v>1392</v>
      </c>
      <c r="K107" s="7">
        <v>10</v>
      </c>
      <c r="L107" s="7">
        <v>3.5</v>
      </c>
      <c r="Q107" s="7" t="str">
        <f>IF(OR([1]Data!B$3="A",[1]Data!$B$3="LH"),IF([1]Data!B$4=K107,L107,""),"")</f>
        <v/>
      </c>
    </row>
    <row r="108" spans="1:17" x14ac:dyDescent="0.25">
      <c r="A108" s="6" t="s">
        <v>836</v>
      </c>
      <c r="B108" s="7" t="s">
        <v>837</v>
      </c>
      <c r="C108" s="20">
        <f>[1]Acc!K47</f>
        <v>210</v>
      </c>
      <c r="J108" s="10" t="s">
        <v>1392</v>
      </c>
      <c r="K108" s="7">
        <v>12</v>
      </c>
      <c r="L108" s="7">
        <v>2</v>
      </c>
      <c r="M108" s="7" t="str">
        <f>IF(OR([1]Data!$B$3="A",[1]Data!$B$3="LH"),IF([1]Data!$B$4=$K108,$L108,""),"")</f>
        <v/>
      </c>
    </row>
    <row r="109" spans="1:17" x14ac:dyDescent="0.25">
      <c r="A109" s="17" t="s">
        <v>838</v>
      </c>
      <c r="B109" s="18" t="s">
        <v>839</v>
      </c>
      <c r="C109" s="21">
        <v>143</v>
      </c>
      <c r="D109" s="7" t="str">
        <f>IF(AND(OR([1]Data!B$3="Lh",[1]Data!B$3="A"),[1]Data!B$10="B",[1]Data!B$6=0.625),CONCATENATE(B109," ",A109),"")</f>
        <v/>
      </c>
      <c r="E109" s="7" t="str">
        <f>IF(D109="","",C109)</f>
        <v/>
      </c>
      <c r="J109" s="10" t="s">
        <v>1392</v>
      </c>
      <c r="K109" s="7">
        <v>12</v>
      </c>
      <c r="L109" s="7">
        <v>2.5</v>
      </c>
      <c r="N109" s="7" t="str">
        <f>IF(OR([1]Data!$B$3="A",[1]Data!$B$3="LH"),IF([1]Data!$B$4=$K109,$L109,""),"")</f>
        <v/>
      </c>
    </row>
    <row r="110" spans="1:17" x14ac:dyDescent="0.25">
      <c r="A110" s="17" t="s">
        <v>840</v>
      </c>
      <c r="B110" s="18" t="s">
        <v>839</v>
      </c>
      <c r="C110" s="21">
        <v>187</v>
      </c>
      <c r="D110" s="7" t="str">
        <f>IF(AND(OR([1]Data!B$3="Lh",[1]Data!B$3="A"),[1]Data!B$10="B",[1]Data!B$6=1),CONCATENATE(B110," ",A110),"")</f>
        <v/>
      </c>
      <c r="E110" s="7" t="str">
        <f t="shared" ref="E110:E173" si="1">IF(D110="","",C110)</f>
        <v/>
      </c>
      <c r="J110" s="10" t="s">
        <v>1392</v>
      </c>
      <c r="K110" s="7">
        <v>12</v>
      </c>
      <c r="L110" s="7">
        <v>3</v>
      </c>
      <c r="O110" s="7" t="str">
        <f>IF(OR([1]Data!B$3="A",[1]Data!$B$3="LH"),IF([1]Data!B$4=K110,L110,""),"")</f>
        <v/>
      </c>
    </row>
    <row r="111" spans="1:17" x14ac:dyDescent="0.25">
      <c r="A111" s="17" t="s">
        <v>841</v>
      </c>
      <c r="B111" s="18" t="s">
        <v>839</v>
      </c>
      <c r="C111" s="21">
        <v>245</v>
      </c>
      <c r="D111" s="7" t="str">
        <f>IF(AND(OR([1]Data!B$3="Lh",[1]Data!B$3="A"),[1]Data!B$10="B",[1]Data!B$6=1.375),CONCATENATE(B111," ",A111),"")</f>
        <v/>
      </c>
      <c r="E111" s="7" t="str">
        <f t="shared" si="1"/>
        <v/>
      </c>
      <c r="J111" s="10" t="s">
        <v>1392</v>
      </c>
      <c r="K111" s="7">
        <v>12</v>
      </c>
      <c r="L111" s="7">
        <v>4</v>
      </c>
      <c r="Q111" s="7" t="str">
        <f>IF(OR([1]Data!B$3="A",[1]Data!$B$3="LH"),IF([1]Data!B$4=K111,L111,""),"")</f>
        <v/>
      </c>
    </row>
    <row r="112" spans="1:17" x14ac:dyDescent="0.25">
      <c r="A112" s="17" t="s">
        <v>842</v>
      </c>
      <c r="B112" s="18" t="s">
        <v>839</v>
      </c>
      <c r="C112" s="21">
        <v>303</v>
      </c>
      <c r="D112" s="7" t="str">
        <f>IF(AND(OR([1]Data!B$3="Lh",[1]Data!B$3="A"),[1]Data!B$10="B",[1]Data!B$6=1.75),CONCATENATE(B112," ",A112),"")</f>
        <v/>
      </c>
      <c r="E112" s="7" t="str">
        <f t="shared" si="1"/>
        <v/>
      </c>
      <c r="J112" s="10" t="s">
        <v>1392</v>
      </c>
      <c r="K112" s="7">
        <v>14</v>
      </c>
      <c r="L112" s="7">
        <v>2.5</v>
      </c>
      <c r="M112" s="7" t="str">
        <f>IF(OR([1]Data!$B$3="A",[1]Data!$B$3="LH"),IF([1]Data!$B$4=$K112,$L112,""),"")</f>
        <v/>
      </c>
    </row>
    <row r="113" spans="1:16" x14ac:dyDescent="0.25">
      <c r="A113" s="17" t="s">
        <v>843</v>
      </c>
      <c r="B113" s="18" t="s">
        <v>839</v>
      </c>
      <c r="C113" s="21">
        <v>372</v>
      </c>
      <c r="D113" s="7" t="str">
        <f>IF(AND(OR([1]Data!B$3="Lh",[1]Data!B$3="A"),[1]Data!B$10="B",[1]Data!B$6=2),CONCATENATE(B113," ",A113),"")</f>
        <v/>
      </c>
      <c r="E113" s="7" t="str">
        <f t="shared" si="1"/>
        <v/>
      </c>
      <c r="J113" s="10" t="s">
        <v>1392</v>
      </c>
      <c r="K113" s="7">
        <v>14</v>
      </c>
      <c r="L113" s="7">
        <v>3</v>
      </c>
      <c r="N113" s="7" t="str">
        <f>IF(OR([1]Data!$B$3="A",[1]Data!$B$3="LH"),IF([1]Data!$B$4=$K113,$L113,""),"")</f>
        <v/>
      </c>
    </row>
    <row r="114" spans="1:16" x14ac:dyDescent="0.25">
      <c r="A114" s="17" t="s">
        <v>844</v>
      </c>
      <c r="B114" s="18" t="s">
        <v>839</v>
      </c>
      <c r="C114" s="21">
        <v>419</v>
      </c>
      <c r="D114" s="7" t="str">
        <f>IF(AND(OR([1]Data!B$3="Lh",[1]Data!B$3="A"),[1]Data!B$10="B",[1]Data!B$6=2.5),CONCATENATE(B114," ",A114),"")</f>
        <v/>
      </c>
      <c r="E114" s="7" t="str">
        <f t="shared" si="1"/>
        <v/>
      </c>
      <c r="J114" s="10" t="s">
        <v>1392</v>
      </c>
      <c r="K114" s="7">
        <v>14</v>
      </c>
      <c r="L114" s="7">
        <v>3.5</v>
      </c>
      <c r="O114" s="7" t="str">
        <f>IF(OR([1]Data!B$3="A",[1]Data!$B$3="LH"),IF([1]Data!B$4=K114,L114,""),"")</f>
        <v/>
      </c>
    </row>
    <row r="115" spans="1:16" x14ac:dyDescent="0.25">
      <c r="A115" s="17" t="s">
        <v>845</v>
      </c>
      <c r="B115" s="18" t="s">
        <v>839</v>
      </c>
      <c r="C115" s="21">
        <v>603</v>
      </c>
      <c r="D115" s="7" t="str">
        <f>IF(AND(OR([1]Data!B$3="Lh",[1]Data!B$3="A"),[1]Data!B$10="B",[1]Data!B$6=3),CONCATENATE(B115," ",A115),"")</f>
        <v/>
      </c>
      <c r="E115" s="7" t="str">
        <f t="shared" si="1"/>
        <v/>
      </c>
      <c r="J115" s="10" t="s">
        <v>1392</v>
      </c>
      <c r="K115" s="7">
        <v>14</v>
      </c>
      <c r="L115" s="7">
        <v>4</v>
      </c>
      <c r="P115" s="7" t="str">
        <f>IF(OR([1]Data!B$3="A",[1]Data!$B$3="LH"),IF([1]Data!B$4=K115,L115,""),"")</f>
        <v/>
      </c>
    </row>
    <row r="116" spans="1:16" x14ac:dyDescent="0.25">
      <c r="A116" s="17" t="s">
        <v>846</v>
      </c>
      <c r="B116" s="18" t="s">
        <v>839</v>
      </c>
      <c r="C116" s="21">
        <v>663</v>
      </c>
      <c r="D116" s="7" t="str">
        <f>IF(AND(OR([1]Data!B$3="Lh",[1]Data!B$3="A"),[1]Data!B$10="B",[1]Data!B$6=3.5),CONCATENATE(B116," ",A116),"")</f>
        <v/>
      </c>
      <c r="E116" s="7" t="str">
        <f t="shared" si="1"/>
        <v/>
      </c>
      <c r="J116" s="10" t="s">
        <v>1392</v>
      </c>
      <c r="K116" s="7">
        <v>7</v>
      </c>
      <c r="L116" s="7">
        <v>1.375</v>
      </c>
      <c r="M116" s="7" t="str">
        <f>IF(OR([1]Data!$B$3="A",[1]Data!$B$3="LH"),IF([1]Data!$B$4=$K116,$L116,""),"")</f>
        <v/>
      </c>
    </row>
    <row r="117" spans="1:16" x14ac:dyDescent="0.25">
      <c r="A117" s="17" t="s">
        <v>847</v>
      </c>
      <c r="B117" s="18" t="s">
        <v>839</v>
      </c>
      <c r="C117" s="21">
        <v>778</v>
      </c>
      <c r="D117" s="7" t="str">
        <f>IF(AND(OR([1]Data!B$3="Lh",[1]Data!B$3="A"),[1]Data!B$10="B",[1]Data!B$6=4),CONCATENATE(B117," ",A117),"")</f>
        <v/>
      </c>
      <c r="E117" s="7" t="str">
        <f t="shared" si="1"/>
        <v/>
      </c>
      <c r="J117" s="10" t="s">
        <v>1392</v>
      </c>
      <c r="K117" s="7">
        <v>7</v>
      </c>
      <c r="L117" s="7">
        <v>1.75</v>
      </c>
      <c r="N117" s="7" t="str">
        <f>IF(OR([1]Data!$B$3="A",[1]Data!$B$3="LH"),IF([1]Data!$B$4=$K117,$L117,""),"")</f>
        <v/>
      </c>
    </row>
    <row r="118" spans="1:16" x14ac:dyDescent="0.25">
      <c r="A118" s="6" t="s">
        <v>848</v>
      </c>
      <c r="B118" s="7" t="s">
        <v>849</v>
      </c>
      <c r="C118" s="20">
        <v>217</v>
      </c>
      <c r="D118" s="7" t="str">
        <f>IF(AND(OR([1]Data!B$3="Lh",[1]Data!B$3="A"),[1]Data!B$10="h",[1]Data!B$6=0.625),CONCATENATE(B118," ",A118),"")</f>
        <v/>
      </c>
      <c r="E118" s="7" t="str">
        <f t="shared" si="1"/>
        <v/>
      </c>
      <c r="J118" s="10" t="s">
        <v>1392</v>
      </c>
      <c r="K118" s="7">
        <v>7</v>
      </c>
      <c r="L118" s="7">
        <v>2</v>
      </c>
      <c r="O118" s="7" t="str">
        <f>IF(OR([1]Data!B$3="A",[1]Data!$B$3="LH"),IF([1]Data!B$4=K118,L118,""),"")</f>
        <v/>
      </c>
    </row>
    <row r="119" spans="1:16" x14ac:dyDescent="0.25">
      <c r="A119" s="6" t="s">
        <v>850</v>
      </c>
      <c r="B119" s="7" t="s">
        <v>849</v>
      </c>
      <c r="C119" s="20">
        <v>284</v>
      </c>
      <c r="D119" s="7" t="str">
        <f>IF(AND(OR([1]Data!B$3="Lh",[1]Data!B$3="A"),[1]Data!B$10="h",[1]Data!B$6=1),CONCATENATE(B119," ",A119),"")</f>
        <v/>
      </c>
      <c r="E119" s="7" t="str">
        <f t="shared" si="1"/>
        <v/>
      </c>
      <c r="J119" s="10" t="s">
        <v>1392</v>
      </c>
      <c r="K119" s="7">
        <v>7</v>
      </c>
      <c r="L119" s="7">
        <v>2.5</v>
      </c>
      <c r="P119" s="7" t="str">
        <f>IF(OR([1]Data!B$3="A",[1]Data!$B$3="LH"),IF([1]Data!B$4=K119,L119,""),"")</f>
        <v/>
      </c>
    </row>
    <row r="120" spans="1:16" x14ac:dyDescent="0.25">
      <c r="A120" s="6" t="s">
        <v>851</v>
      </c>
      <c r="B120" s="7" t="s">
        <v>849</v>
      </c>
      <c r="C120" s="20">
        <v>373</v>
      </c>
      <c r="D120" s="7" t="str">
        <f>IF(AND(OR([1]Data!B$3="Lh",[1]Data!B$3="A"),[1]Data!B$10="h",[1]Data!B$6=1.375),CONCATENATE(B120," ",A120),"")</f>
        <v/>
      </c>
      <c r="E120" s="7" t="str">
        <f t="shared" si="1"/>
        <v/>
      </c>
      <c r="J120" s="10" t="s">
        <v>1402</v>
      </c>
      <c r="K120" s="7">
        <v>25</v>
      </c>
      <c r="L120" s="7">
        <v>12</v>
      </c>
      <c r="M120" s="7" t="str">
        <f>IF(OR([1]Data!$B$3="IH",[1]Data!$B$3="IHM"),IF([1]Data!$B$4=$K120,$L120,""),"")</f>
        <v/>
      </c>
    </row>
    <row r="121" spans="1:16" x14ac:dyDescent="0.25">
      <c r="A121" s="6" t="s">
        <v>852</v>
      </c>
      <c r="B121" s="7" t="s">
        <v>849</v>
      </c>
      <c r="C121" s="20">
        <v>460</v>
      </c>
      <c r="D121" s="7" t="str">
        <f>IF(AND(OR([1]Data!B$3="Lh",[1]Data!B$3="A"),[1]Data!B$10="h",[1]Data!B$6=1.75),CONCATENATE(B121," ",A121),"")</f>
        <v/>
      </c>
      <c r="E121" s="7" t="str">
        <f t="shared" si="1"/>
        <v/>
      </c>
      <c r="J121" s="10" t="s">
        <v>1402</v>
      </c>
      <c r="K121" s="7">
        <v>25</v>
      </c>
      <c r="L121" s="7">
        <v>18</v>
      </c>
      <c r="N121" s="7" t="str">
        <f>IF(OR([1]Data!$B$3="IH",[1]Data!$B$3="IHM"),IF([1]Data!$B$4=$K121,$L121,""),"")</f>
        <v/>
      </c>
    </row>
    <row r="122" spans="1:16" x14ac:dyDescent="0.25">
      <c r="A122" s="6" t="s">
        <v>853</v>
      </c>
      <c r="B122" s="7" t="s">
        <v>849</v>
      </c>
      <c r="C122" s="20">
        <v>565</v>
      </c>
      <c r="D122" s="7" t="str">
        <f>IF(AND(OR([1]Data!B$3="Lh",[1]Data!B$3="A"),[1]Data!B$10="h",[1]Data!B$6=2),CONCATENATE(B122," ",A122),"")</f>
        <v/>
      </c>
      <c r="E122" s="7" t="str">
        <f t="shared" si="1"/>
        <v/>
      </c>
      <c r="J122" s="10" t="s">
        <v>1402</v>
      </c>
      <c r="K122" s="7">
        <v>32</v>
      </c>
      <c r="L122" s="7">
        <v>14</v>
      </c>
      <c r="M122" s="7" t="str">
        <f>IF(OR([1]Data!$B$3="IH",[1]Data!$B$3="IHM"),IF([1]Data!$B$4=$K122,$L122,""),"")</f>
        <v/>
      </c>
    </row>
    <row r="123" spans="1:16" x14ac:dyDescent="0.25">
      <c r="A123" s="6" t="s">
        <v>854</v>
      </c>
      <c r="B123" s="7" t="s">
        <v>849</v>
      </c>
      <c r="C123" s="20">
        <v>637</v>
      </c>
      <c r="D123" s="7" t="str">
        <f>IF(AND(OR([1]Data!B$3="Lh",[1]Data!B$3="A"),[1]Data!B$10="h",[1]Data!B$6=2.5),CONCATENATE(B123," ",A123),"")</f>
        <v/>
      </c>
      <c r="E123" s="7" t="str">
        <f t="shared" si="1"/>
        <v/>
      </c>
      <c r="J123" s="10" t="s">
        <v>1402</v>
      </c>
      <c r="K123" s="7">
        <v>32</v>
      </c>
      <c r="L123" s="7">
        <v>18</v>
      </c>
      <c r="N123" s="7" t="str">
        <f>IF(OR([1]Data!$B$3="IH",[1]Data!$B$3="IHM"),IF([1]Data!$B$4=$K123,$L123,""),"")</f>
        <v/>
      </c>
    </row>
    <row r="124" spans="1:16" x14ac:dyDescent="0.25">
      <c r="A124" s="6" t="s">
        <v>855</v>
      </c>
      <c r="B124" s="7" t="s">
        <v>849</v>
      </c>
      <c r="C124" s="20">
        <v>916</v>
      </c>
      <c r="D124" s="7" t="str">
        <f>IF(AND(OR([1]Data!B$3="Lh",[1]Data!B$3="A"),[1]Data!B$10="h",[1]Data!B$6=3),CONCATENATE(B124," ",A124),"")</f>
        <v/>
      </c>
      <c r="E124" s="7" t="str">
        <f t="shared" si="1"/>
        <v/>
      </c>
      <c r="J124" s="10" t="s">
        <v>1402</v>
      </c>
      <c r="K124" s="7">
        <v>32</v>
      </c>
      <c r="L124" s="7">
        <v>22</v>
      </c>
      <c r="O124" s="7" t="str">
        <f>IF(OR([1]Data!B$3="IH",[1]Data!$B$3="IHM"),IF([1]Data!B$4=K124,L124,""),"")</f>
        <v/>
      </c>
    </row>
    <row r="125" spans="1:16" x14ac:dyDescent="0.25">
      <c r="A125" s="6" t="s">
        <v>856</v>
      </c>
      <c r="B125" s="7" t="s">
        <v>849</v>
      </c>
      <c r="C125" s="20">
        <v>1007</v>
      </c>
      <c r="D125" s="7" t="str">
        <f>IF(AND(OR([1]Data!B$3="Lh",[1]Data!B$3="A"),[1]Data!B$10="h",[1]Data!B$6=3.5),CONCATENATE(B125," ",A125),"")</f>
        <v/>
      </c>
      <c r="E125" s="7" t="str">
        <f t="shared" si="1"/>
        <v/>
      </c>
      <c r="J125" s="10" t="s">
        <v>1402</v>
      </c>
      <c r="K125" s="7">
        <v>40</v>
      </c>
      <c r="L125" s="7">
        <v>18</v>
      </c>
      <c r="M125" s="7" t="str">
        <f>IF(OR([1]Data!$B$3="IH",[1]Data!$B$3="IHM"),IF([1]Data!$B$4=$K125,$L125,""),"")</f>
        <v/>
      </c>
    </row>
    <row r="126" spans="1:16" x14ac:dyDescent="0.25">
      <c r="A126" s="6" t="s">
        <v>857</v>
      </c>
      <c r="B126" s="7" t="s">
        <v>849</v>
      </c>
      <c r="C126" s="20">
        <v>1182</v>
      </c>
      <c r="D126" s="7" t="str">
        <f>IF(AND(OR([1]Data!B$3="Lh",[1]Data!B$3="A"),[1]Data!B$10="h",[1]Data!B$6=4),CONCATENATE(B126," ",A126),"")</f>
        <v/>
      </c>
      <c r="E126" s="7" t="str">
        <f t="shared" si="1"/>
        <v/>
      </c>
      <c r="J126" s="10" t="s">
        <v>1402</v>
      </c>
      <c r="K126" s="7">
        <v>40</v>
      </c>
      <c r="L126" s="7">
        <v>22</v>
      </c>
      <c r="N126" s="7" t="str">
        <f>IF(OR([1]Data!$B$3="IH",[1]Data!$B$3="IHM"),IF([1]Data!$B$4=$K126,$L126,""),"")</f>
        <v/>
      </c>
    </row>
    <row r="127" spans="1:16" x14ac:dyDescent="0.25">
      <c r="A127" s="17" t="s">
        <v>858</v>
      </c>
      <c r="B127" s="18" t="s">
        <v>859</v>
      </c>
      <c r="C127" s="21">
        <v>200</v>
      </c>
      <c r="D127" s="7" t="str">
        <f>IF(AND(OR([1]Data!B$3="Lh",[1]Data!B$3="A"),[1]Data!B$10="v",[1]Data!B$6=0.625),CONCATENATE(B127," ",A127),"")</f>
        <v/>
      </c>
      <c r="E127" s="7" t="str">
        <f t="shared" si="1"/>
        <v/>
      </c>
      <c r="J127" s="10" t="s">
        <v>1402</v>
      </c>
      <c r="K127" s="7">
        <v>40</v>
      </c>
      <c r="L127" s="7">
        <v>28</v>
      </c>
      <c r="O127" s="7" t="str">
        <f>IF(OR([1]Data!B$3="IH",[1]Data!$B$3="IHM"),IF([1]Data!B$4=K127,L127,""),"")</f>
        <v/>
      </c>
    </row>
    <row r="128" spans="1:16" x14ac:dyDescent="0.25">
      <c r="A128" s="17" t="s">
        <v>860</v>
      </c>
      <c r="B128" s="18" t="s">
        <v>859</v>
      </c>
      <c r="C128" s="21">
        <v>260</v>
      </c>
      <c r="D128" s="7" t="str">
        <f>IF(AND(OR([1]Data!B$3="Lh",[1]Data!B$3="A"),[1]Data!B$10="v",[1]Data!B$6=1),CONCATENATE(B128," ",A128),"")</f>
        <v/>
      </c>
      <c r="E128" s="7" t="str">
        <f t="shared" si="1"/>
        <v/>
      </c>
      <c r="J128" s="10" t="s">
        <v>1402</v>
      </c>
      <c r="K128" s="7">
        <v>50</v>
      </c>
      <c r="L128" s="7">
        <v>22</v>
      </c>
      <c r="M128" s="7" t="str">
        <f>IF(OR([1]Data!$B$3="IH",[1]Data!$B$3="IHM"),IF([1]Data!$B$4=$K128,$L128,""),"")</f>
        <v/>
      </c>
    </row>
    <row r="129" spans="1:15" x14ac:dyDescent="0.25">
      <c r="A129" s="17" t="s">
        <v>861</v>
      </c>
      <c r="B129" s="18" t="s">
        <v>859</v>
      </c>
      <c r="C129" s="21">
        <v>344</v>
      </c>
      <c r="D129" s="7" t="str">
        <f>IF(AND(OR([1]Data!B$3="Lh",[1]Data!B$3="A"),[1]Data!B$10="v",[1]Data!B$6=1.375),CONCATENATE(B129," ",A129),"")</f>
        <v/>
      </c>
      <c r="E129" s="7" t="str">
        <f t="shared" si="1"/>
        <v/>
      </c>
      <c r="J129" s="10" t="s">
        <v>1402</v>
      </c>
      <c r="K129" s="7">
        <v>50</v>
      </c>
      <c r="L129" s="7">
        <v>28</v>
      </c>
      <c r="N129" s="7" t="str">
        <f>IF(OR([1]Data!$B$3="IH",[1]Data!$B$3="IHM"),IF([1]Data!$B$4=$K129,$L129,""),"")</f>
        <v/>
      </c>
    </row>
    <row r="130" spans="1:15" x14ac:dyDescent="0.25">
      <c r="A130" s="17" t="s">
        <v>862</v>
      </c>
      <c r="B130" s="18" t="s">
        <v>859</v>
      </c>
      <c r="C130" s="21">
        <v>424</v>
      </c>
      <c r="D130" s="7" t="str">
        <f>IF(AND(OR([1]Data!B$3="Lh",[1]Data!B$3="A"),[1]Data!B$10="v",[1]Data!B$6=1.75),CONCATENATE(B130," ",A130),"")</f>
        <v/>
      </c>
      <c r="E130" s="7" t="str">
        <f t="shared" si="1"/>
        <v/>
      </c>
      <c r="J130" s="10" t="s">
        <v>1402</v>
      </c>
      <c r="K130" s="7">
        <v>50</v>
      </c>
      <c r="L130" s="7">
        <v>36</v>
      </c>
      <c r="O130" s="7" t="str">
        <f>IF(OR([1]Data!B$3="IH",[1]Data!$B$3="IHM"),IF([1]Data!B$4=K130,L130,""),"")</f>
        <v/>
      </c>
    </row>
    <row r="131" spans="1:15" x14ac:dyDescent="0.25">
      <c r="A131" s="17" t="s">
        <v>863</v>
      </c>
      <c r="B131" s="18" t="s">
        <v>859</v>
      </c>
      <c r="C131" s="21">
        <v>520</v>
      </c>
      <c r="D131" s="7" t="str">
        <f>IF(AND(OR([1]Data!B$3="Lh",[1]Data!B$3="A"),[1]Data!B$10="v",[1]Data!B$6=2),CONCATENATE(B131," ",A131),"")</f>
        <v/>
      </c>
      <c r="E131" s="7" t="str">
        <f t="shared" si="1"/>
        <v/>
      </c>
      <c r="J131" s="10" t="s">
        <v>1402</v>
      </c>
      <c r="K131" s="7">
        <v>63</v>
      </c>
      <c r="L131" s="7">
        <v>28</v>
      </c>
      <c r="M131" s="7" t="str">
        <f>IF(OR([1]Data!$B$3="IH",[1]Data!$B$3="IHM"),IF([1]Data!$B$4=$K131,$L131,""),"")</f>
        <v/>
      </c>
    </row>
    <row r="132" spans="1:15" x14ac:dyDescent="0.25">
      <c r="A132" s="17" t="s">
        <v>864</v>
      </c>
      <c r="B132" s="18" t="s">
        <v>859</v>
      </c>
      <c r="C132" s="21">
        <v>587</v>
      </c>
      <c r="D132" s="7" t="str">
        <f>IF(AND(OR([1]Data!B$3="Lh",[1]Data!B$3="A"),[1]Data!B$10="v",[1]Data!B$6=2.5),CONCATENATE(B132," ",A132),"")</f>
        <v/>
      </c>
      <c r="E132" s="7" t="str">
        <f t="shared" si="1"/>
        <v/>
      </c>
      <c r="J132" s="10" t="s">
        <v>1402</v>
      </c>
      <c r="K132" s="7">
        <v>63</v>
      </c>
      <c r="L132" s="7">
        <v>36</v>
      </c>
      <c r="N132" s="7" t="str">
        <f>IF(OR([1]Data!$B$3="IH",[1]Data!$B$3="IHM"),IF([1]Data!$B$4=$K132,$L132,""),"")</f>
        <v/>
      </c>
    </row>
    <row r="133" spans="1:15" x14ac:dyDescent="0.25">
      <c r="A133" s="17" t="s">
        <v>865</v>
      </c>
      <c r="B133" s="18" t="s">
        <v>859</v>
      </c>
      <c r="C133" s="21">
        <v>845</v>
      </c>
      <c r="D133" s="7" t="str">
        <f>IF(AND(OR([1]Data!B$3="Lh",[1]Data!B$3="A"),[1]Data!B$10="v",[1]Data!B$6=3),CONCATENATE(B133," ",A133),"")</f>
        <v/>
      </c>
      <c r="E133" s="7" t="str">
        <f t="shared" si="1"/>
        <v/>
      </c>
      <c r="J133" s="10" t="s">
        <v>1402</v>
      </c>
      <c r="K133" s="7">
        <v>63</v>
      </c>
      <c r="L133" s="7">
        <v>45</v>
      </c>
      <c r="O133" s="7" t="str">
        <f>IF(OR([1]Data!B$3="IH",[1]Data!$B$3="IHM"),IF([1]Data!B$4=K133,L133,""),"")</f>
        <v/>
      </c>
    </row>
    <row r="134" spans="1:15" x14ac:dyDescent="0.25">
      <c r="A134" s="17" t="s">
        <v>866</v>
      </c>
      <c r="B134" s="18" t="s">
        <v>859</v>
      </c>
      <c r="C134" s="21">
        <v>928</v>
      </c>
      <c r="D134" s="7" t="str">
        <f>IF(AND(OR([1]Data!B$3="Lh",[1]Data!B$3="A"),[1]Data!B$10="v",[1]Data!B$6=3.5),CONCATENATE(B134," ",A134),"")</f>
        <v/>
      </c>
      <c r="E134" s="7" t="str">
        <f t="shared" si="1"/>
        <v/>
      </c>
      <c r="J134" s="10" t="s">
        <v>1402</v>
      </c>
      <c r="K134" s="7">
        <v>80</v>
      </c>
      <c r="L134" s="7">
        <v>36</v>
      </c>
      <c r="M134" s="7" t="str">
        <f>IF(OR([1]Data!$B$3="IH",[1]Data!$B$3="IHM"),IF([1]Data!$B$4=$K134,$L134,""),"")</f>
        <v/>
      </c>
    </row>
    <row r="135" spans="1:15" x14ac:dyDescent="0.25">
      <c r="A135" s="17" t="s">
        <v>867</v>
      </c>
      <c r="B135" s="18" t="s">
        <v>859</v>
      </c>
      <c r="C135" s="21">
        <v>1089</v>
      </c>
      <c r="D135" s="7" t="str">
        <f>IF(AND(OR([1]Data!B$3="Lh",[1]Data!B$3="A"),[1]Data!B$10="v",[1]Data!B$6=4),CONCATENATE(B135," ",A135),"")</f>
        <v/>
      </c>
      <c r="E135" s="7" t="str">
        <f t="shared" si="1"/>
        <v/>
      </c>
      <c r="J135" s="10" t="s">
        <v>1402</v>
      </c>
      <c r="K135" s="7">
        <v>80</v>
      </c>
      <c r="L135" s="7">
        <v>45</v>
      </c>
      <c r="N135" s="7" t="str">
        <f>IF(OR([1]Data!$B$3="IH",[1]Data!$B$3="IHM"),IF([1]Data!$B$4=$K135,$L135,""),"")</f>
        <v/>
      </c>
    </row>
    <row r="136" spans="1:15" x14ac:dyDescent="0.25">
      <c r="A136" s="17" t="s">
        <v>868</v>
      </c>
      <c r="B136" s="18" t="s">
        <v>869</v>
      </c>
      <c r="C136" s="21">
        <v>810</v>
      </c>
      <c r="D136" s="7" t="str">
        <f>IF(AND(OR([1]Data!B$3="Lh",[1]Data!B$3="A"),[1]Data!B$10="b",[1]Data!B$4=10),CONCATENATE(B136," ",A136),"")</f>
        <v/>
      </c>
      <c r="E136" s="7" t="str">
        <f t="shared" si="1"/>
        <v/>
      </c>
      <c r="J136" s="10" t="s">
        <v>1402</v>
      </c>
      <c r="K136" s="7">
        <v>80</v>
      </c>
      <c r="L136" s="7">
        <v>56</v>
      </c>
      <c r="O136" s="7" t="str">
        <f>IF(OR([1]Data!B$3="IH",[1]Data!$B$3="IHM"),IF([1]Data!B$4=K136,L136,""),"")</f>
        <v/>
      </c>
    </row>
    <row r="137" spans="1:15" x14ac:dyDescent="0.25">
      <c r="A137" s="17" t="s">
        <v>870</v>
      </c>
      <c r="B137" s="18" t="s">
        <v>869</v>
      </c>
      <c r="C137" s="21">
        <v>1055</v>
      </c>
      <c r="D137" s="7" t="str">
        <f>IF(AND(OR([1]Data!B$3="Lh",[1]Data!B$3="A"),[1]Data!B$10="b",[1]Data!B$4=12),CONCATENATE(B137," ",A137),"")</f>
        <v/>
      </c>
      <c r="E137" s="7" t="str">
        <f t="shared" si="1"/>
        <v/>
      </c>
      <c r="J137" s="10" t="s">
        <v>1402</v>
      </c>
      <c r="K137" s="7">
        <v>100</v>
      </c>
      <c r="L137" s="7">
        <v>45</v>
      </c>
      <c r="M137" s="7" t="str">
        <f>IF(OR([1]Data!$B$3="IH",[1]Data!$B$3="IHM"),IF([1]Data!$B$4=$K137,$L137,""),"")</f>
        <v/>
      </c>
    </row>
    <row r="138" spans="1:15" x14ac:dyDescent="0.25">
      <c r="A138" s="17" t="s">
        <v>871</v>
      </c>
      <c r="B138" s="18" t="s">
        <v>869</v>
      </c>
      <c r="C138" s="21">
        <v>1295</v>
      </c>
      <c r="D138" s="7" t="str">
        <f>IF(AND(OR([1]Data!B$3="Lh",[1]Data!B$3="A"),[1]Data!B$10="b",[1]Data!B$4=14),CONCATENATE(B138," ",A138),"")</f>
        <v/>
      </c>
      <c r="E138" s="7" t="str">
        <f t="shared" si="1"/>
        <v/>
      </c>
      <c r="J138" s="10" t="s">
        <v>1402</v>
      </c>
      <c r="K138" s="7">
        <v>100</v>
      </c>
      <c r="L138" s="7">
        <v>56</v>
      </c>
      <c r="N138" s="7" t="str">
        <f>IF(OR([1]Data!$B$3="IH",[1]Data!$B$3="IHM"),IF([1]Data!$B$4=$K138,$L138,""),"")</f>
        <v/>
      </c>
    </row>
    <row r="139" spans="1:15" x14ac:dyDescent="0.25">
      <c r="A139" s="17" t="s">
        <v>872</v>
      </c>
      <c r="B139" s="18" t="s">
        <v>869</v>
      </c>
      <c r="C139" s="21">
        <v>55</v>
      </c>
      <c r="D139" s="7" t="str">
        <f>IF(AND(OR([1]Data!B$3="Lh",[1]Data!B$3="A"),[1]Data!B$10="b",[1]Data!B$4=1.5),CONCATENATE(B139," ",A139),"")</f>
        <v/>
      </c>
      <c r="E139" s="7" t="str">
        <f t="shared" si="1"/>
        <v/>
      </c>
      <c r="J139" s="10" t="s">
        <v>1402</v>
      </c>
      <c r="K139" s="7">
        <v>100</v>
      </c>
      <c r="L139" s="7">
        <v>70</v>
      </c>
      <c r="O139" s="7" t="str">
        <f>IF(OR([1]Data!B$3="IH",[1]Data!$B$3="IHM"),IF([1]Data!B$4=K139,L139,""),"")</f>
        <v/>
      </c>
    </row>
    <row r="140" spans="1:15" x14ac:dyDescent="0.25">
      <c r="A140" s="17" t="s">
        <v>873</v>
      </c>
      <c r="B140" s="18" t="s">
        <v>869</v>
      </c>
      <c r="C140" s="21">
        <v>68</v>
      </c>
      <c r="D140" s="7" t="str">
        <f>IF(AND(OR([1]Data!B$3="Lh",[1]Data!B$3="A"),[1]Data!B$10="b",[1]Data!B$4=2),CONCATENATE(B140," ",A140),"")</f>
        <v/>
      </c>
      <c r="E140" s="7" t="str">
        <f t="shared" si="1"/>
        <v/>
      </c>
      <c r="J140" s="10" t="s">
        <v>1402</v>
      </c>
      <c r="K140" s="7">
        <v>125</v>
      </c>
      <c r="L140" s="7">
        <v>56</v>
      </c>
      <c r="M140" s="7" t="str">
        <f>IF(OR([1]Data!$B$3="IH",[1]Data!$B$3="IHM"),IF([1]Data!$B$4=$K140,$L140,""),"")</f>
        <v/>
      </c>
    </row>
    <row r="141" spans="1:15" x14ac:dyDescent="0.25">
      <c r="A141" s="17" t="s">
        <v>874</v>
      </c>
      <c r="B141" s="18" t="s">
        <v>869</v>
      </c>
      <c r="C141" s="21">
        <v>79</v>
      </c>
      <c r="D141" s="7" t="str">
        <f>IF(AND(OR([1]Data!B$3="Lh",[1]Data!B$3="A"),[1]Data!B$10="b",[1]Data!B$4=2.5),CONCATENATE(B141," ",A141),"")</f>
        <v/>
      </c>
      <c r="E141" s="7" t="str">
        <f t="shared" si="1"/>
        <v/>
      </c>
      <c r="J141" s="10" t="s">
        <v>1402</v>
      </c>
      <c r="K141" s="7">
        <v>125</v>
      </c>
      <c r="L141" s="7">
        <v>70</v>
      </c>
      <c r="N141" s="7" t="str">
        <f>IF(OR([1]Data!$B$3="IH",[1]Data!$B$3="IHM"),IF([1]Data!$B$4=$K141,$L141,""),"")</f>
        <v/>
      </c>
    </row>
    <row r="142" spans="1:15" x14ac:dyDescent="0.25">
      <c r="A142" s="17" t="s">
        <v>875</v>
      </c>
      <c r="B142" s="18" t="s">
        <v>869</v>
      </c>
      <c r="C142" s="21">
        <v>109</v>
      </c>
      <c r="D142" s="7" t="str">
        <f>IF(AND(OR([1]Data!B$3="Lh",[1]Data!B$3="A"),[1]Data!B$10="b",[1]Data!B$4=3.25),CONCATENATE(B142," ",A142),"")</f>
        <v/>
      </c>
      <c r="E142" s="7" t="str">
        <f t="shared" si="1"/>
        <v/>
      </c>
      <c r="J142" s="10" t="s">
        <v>1402</v>
      </c>
      <c r="K142" s="7">
        <v>125</v>
      </c>
      <c r="L142" s="7">
        <v>90</v>
      </c>
      <c r="O142" s="7" t="str">
        <f>IF(OR([1]Data!B$3="IH",[1]Data!$B$3="IHM"),IF([1]Data!B$4=K142,L142,""),"")</f>
        <v/>
      </c>
    </row>
    <row r="143" spans="1:15" x14ac:dyDescent="0.25">
      <c r="A143" s="17" t="s">
        <v>876</v>
      </c>
      <c r="B143" s="18" t="s">
        <v>869</v>
      </c>
      <c r="C143" s="21">
        <v>130</v>
      </c>
      <c r="D143" s="7" t="str">
        <f>IF(AND(OR([1]Data!B$3="Lh",[1]Data!B$3="A"),[1]Data!B$10="b",[1]Data!B$4=4),CONCATENATE(B143," ",A143),"")</f>
        <v/>
      </c>
      <c r="E143" s="7" t="str">
        <f t="shared" si="1"/>
        <v/>
      </c>
      <c r="J143" s="10" t="s">
        <v>1402</v>
      </c>
      <c r="K143" s="7">
        <v>160</v>
      </c>
      <c r="L143" s="7">
        <v>70</v>
      </c>
      <c r="M143" s="7" t="str">
        <f>IF(OR([1]Data!$B$3="IH",[1]Data!$B$3="IHM"),IF([1]Data!$B$4=$K143,$L143,""),"")</f>
        <v/>
      </c>
    </row>
    <row r="144" spans="1:15" x14ac:dyDescent="0.25">
      <c r="A144" s="17" t="s">
        <v>877</v>
      </c>
      <c r="B144" s="18" t="s">
        <v>869</v>
      </c>
      <c r="C144" s="21">
        <v>212</v>
      </c>
      <c r="D144" s="7" t="str">
        <f>IF(AND(OR([1]Data!B$3="Lh",[1]Data!B$3="A"),[1]Data!B$10="b",[1]Data!B$4=5),CONCATENATE(B144," ",A144),"")</f>
        <v/>
      </c>
      <c r="E144" s="7" t="str">
        <f t="shared" si="1"/>
        <v/>
      </c>
      <c r="J144" s="10" t="s">
        <v>1402</v>
      </c>
      <c r="K144" s="7">
        <v>160</v>
      </c>
      <c r="L144" s="7">
        <v>90</v>
      </c>
      <c r="N144" s="7" t="str">
        <f>IF(OR([1]Data!$B$3="IH",[1]Data!$B$3="IHM"),IF([1]Data!$B$4=$K144,$L144,""),"")</f>
        <v/>
      </c>
    </row>
    <row r="145" spans="1:15" x14ac:dyDescent="0.25">
      <c r="A145" s="17" t="s">
        <v>878</v>
      </c>
      <c r="B145" s="18" t="s">
        <v>869</v>
      </c>
      <c r="C145" s="21">
        <v>325</v>
      </c>
      <c r="D145" s="7" t="str">
        <f>IF(AND(OR([1]Data!B$3="Lh",[1]Data!B$3="A"),[1]Data!B$10="b",[1]Data!B$4=6),CONCATENATE(B145," ",A145),"")</f>
        <v/>
      </c>
      <c r="E145" s="7" t="str">
        <f t="shared" si="1"/>
        <v/>
      </c>
      <c r="J145" s="10" t="s">
        <v>1402</v>
      </c>
      <c r="K145" s="7">
        <v>160</v>
      </c>
      <c r="L145" s="7">
        <v>110</v>
      </c>
      <c r="O145" s="7" t="str">
        <f>IF(OR([1]Data!B$3="IH",[1]Data!$B$3="IHM"),IF([1]Data!B$4=K145,L145,""),"")</f>
        <v/>
      </c>
    </row>
    <row r="146" spans="1:15" x14ac:dyDescent="0.25">
      <c r="A146" s="17" t="s">
        <v>879</v>
      </c>
      <c r="B146" s="18" t="s">
        <v>869</v>
      </c>
      <c r="C146" s="21">
        <v>439</v>
      </c>
      <c r="D146" s="7" t="str">
        <f>IF(AND(OR([1]Data!B$3="Lh",[1]Data!B$3="A"),[1]Data!B$10="b",[1]Data!B$4=7),CONCATENATE(B146," ",A146),"")</f>
        <v/>
      </c>
      <c r="E146" s="7" t="str">
        <f t="shared" si="1"/>
        <v/>
      </c>
      <c r="J146" s="10" t="s">
        <v>1402</v>
      </c>
      <c r="K146" s="7">
        <v>200</v>
      </c>
      <c r="L146" s="7">
        <v>90</v>
      </c>
      <c r="M146" s="7" t="str">
        <f>IF(OR([1]Data!$B$3="IH",[1]Data!$B$3="IHM"),IF([1]Data!$B$4=$K146,$L146,""),"")</f>
        <v/>
      </c>
    </row>
    <row r="147" spans="1:15" x14ac:dyDescent="0.25">
      <c r="A147" s="17" t="s">
        <v>880</v>
      </c>
      <c r="B147" s="18" t="s">
        <v>869</v>
      </c>
      <c r="C147" s="21">
        <v>503</v>
      </c>
      <c r="D147" s="7" t="str">
        <f>IF(AND(OR([1]Data!B$3="Lh",[1]Data!B$3="A"),[1]Data!B$10="b",[1]Data!B$4=8),CONCATENATE(B147," ",A147),"")</f>
        <v/>
      </c>
      <c r="E147" s="7" t="str">
        <f t="shared" si="1"/>
        <v/>
      </c>
      <c r="J147" s="10" t="s">
        <v>1402</v>
      </c>
      <c r="K147" s="7">
        <v>200</v>
      </c>
      <c r="L147" s="7">
        <v>110</v>
      </c>
      <c r="N147" s="7" t="str">
        <f>IF(OR([1]Data!$B$3="IH",[1]Data!$B$3="IHM"),IF([1]Data!$B$4=$K147,$L147,""),"")</f>
        <v/>
      </c>
    </row>
    <row r="148" spans="1:15" x14ac:dyDescent="0.25">
      <c r="A148" s="7" t="s">
        <v>881</v>
      </c>
      <c r="B148" s="7" t="s">
        <v>882</v>
      </c>
      <c r="C148" s="20">
        <v>1215</v>
      </c>
      <c r="D148" s="7" t="str">
        <f>IF(AND(OR([1]Data!B$3="Lh",[1]Data!B$3="A"),[1]Data!B$10="h",[1]Data!B$4=10),CONCATENATE(B148," ",A148),"")</f>
        <v/>
      </c>
      <c r="E148" s="7" t="str">
        <f t="shared" si="1"/>
        <v/>
      </c>
      <c r="J148" s="10" t="s">
        <v>1402</v>
      </c>
      <c r="K148" s="7">
        <v>200</v>
      </c>
      <c r="L148" s="7">
        <v>140</v>
      </c>
      <c r="O148" s="7" t="str">
        <f>IF(OR([1]Data!B$3="IH",[1]Data!$B$3="IHM"),IF([1]Data!B$4=K148,L148,""),"")</f>
        <v/>
      </c>
    </row>
    <row r="149" spans="1:15" x14ac:dyDescent="0.25">
      <c r="A149" s="7" t="s">
        <v>883</v>
      </c>
      <c r="B149" s="7" t="s">
        <v>882</v>
      </c>
      <c r="C149" s="20">
        <v>1583</v>
      </c>
      <c r="D149" s="7" t="str">
        <f>IF(AND(OR([1]Data!B$3="Lh",[1]Data!B$3="A"),[1]Data!B$10="h",[1]Data!B$4=12),CONCATENATE(B149," ",A149),"")</f>
        <v/>
      </c>
      <c r="E149" s="7" t="str">
        <f t="shared" si="1"/>
        <v/>
      </c>
      <c r="J149" s="7" t="s">
        <v>1403</v>
      </c>
      <c r="K149" s="7">
        <v>40</v>
      </c>
      <c r="L149" s="7">
        <v>25</v>
      </c>
      <c r="M149" s="7" t="str">
        <f>IF([1]Data!$B$3="IMH",IF([1]Data!$B$4=$K149,$L149,""),"")</f>
        <v/>
      </c>
    </row>
    <row r="150" spans="1:15" x14ac:dyDescent="0.25">
      <c r="A150" s="7" t="s">
        <v>884</v>
      </c>
      <c r="B150" s="7" t="s">
        <v>882</v>
      </c>
      <c r="C150" s="20">
        <v>1943</v>
      </c>
      <c r="D150" s="7" t="str">
        <f>IF(AND(OR([1]Data!B$3="Lh",[1]Data!B$3="A"),[1]Data!B$10="h",[1]Data!B$4=14),CONCATENATE(B150," ",A150),"")</f>
        <v/>
      </c>
      <c r="E150" s="7" t="str">
        <f t="shared" si="1"/>
        <v/>
      </c>
      <c r="J150" s="7" t="s">
        <v>1403</v>
      </c>
      <c r="K150" s="7">
        <v>40</v>
      </c>
      <c r="L150" s="7">
        <v>28</v>
      </c>
      <c r="N150" s="7" t="str">
        <f>IF([1]Data!$B$3="IMH",IF([1]Data!$B$4=$K150,$L150,""),"")</f>
        <v/>
      </c>
    </row>
    <row r="151" spans="1:15" x14ac:dyDescent="0.25">
      <c r="A151" s="6" t="s">
        <v>885</v>
      </c>
      <c r="B151" s="7" t="s">
        <v>882</v>
      </c>
      <c r="C151" s="20">
        <v>83</v>
      </c>
      <c r="D151" s="7" t="str">
        <f>IF(AND(OR([1]Data!B$3="Lh",[1]Data!B$3="A"),[1]Data!B$10="h",[1]Data!B$4=1.5),CONCATENATE(B151," ",A151),"")</f>
        <v/>
      </c>
      <c r="E151" s="7" t="str">
        <f t="shared" si="1"/>
        <v/>
      </c>
      <c r="J151" s="7" t="s">
        <v>1403</v>
      </c>
      <c r="K151" s="7">
        <v>50</v>
      </c>
      <c r="L151" s="7">
        <v>32</v>
      </c>
      <c r="M151" s="7" t="str">
        <f>IF([1]Data!$B$3="IMH",IF([1]Data!$B$4=$K151,$L151,""),"")</f>
        <v/>
      </c>
    </row>
    <row r="152" spans="1:15" x14ac:dyDescent="0.25">
      <c r="A152" s="6" t="s">
        <v>886</v>
      </c>
      <c r="B152" s="7" t="s">
        <v>882</v>
      </c>
      <c r="C152" s="20">
        <v>102</v>
      </c>
      <c r="D152" s="7" t="str">
        <f>IF(AND(OR([1]Data!B$3="Lh",[1]Data!B$3="A"),[1]Data!B$10="h",[1]Data!B$4=2),CONCATENATE(B152," ",A152),"")</f>
        <v/>
      </c>
      <c r="E152" s="7" t="str">
        <f t="shared" si="1"/>
        <v/>
      </c>
      <c r="J152" s="7" t="s">
        <v>1403</v>
      </c>
      <c r="K152" s="7">
        <v>50</v>
      </c>
      <c r="L152" s="7">
        <v>36</v>
      </c>
      <c r="N152" s="7" t="str">
        <f>IF([1]Data!$B$3="IMH",IF([1]Data!$B$4=$K152,$L152,""),"")</f>
        <v/>
      </c>
    </row>
    <row r="153" spans="1:15" x14ac:dyDescent="0.25">
      <c r="A153" s="6" t="s">
        <v>887</v>
      </c>
      <c r="B153" s="7" t="s">
        <v>882</v>
      </c>
      <c r="C153" s="20">
        <v>119</v>
      </c>
      <c r="D153" s="7" t="str">
        <f>IF(AND(OR([1]Data!B$3="Lh",[1]Data!B$3="A"),[1]Data!B$10="h",[1]Data!B$4=2.5),CONCATENATE(B153," ",A153),"")</f>
        <v/>
      </c>
      <c r="E153" s="7" t="str">
        <f t="shared" si="1"/>
        <v/>
      </c>
      <c r="J153" s="7" t="s">
        <v>1403</v>
      </c>
      <c r="K153" s="7">
        <v>63</v>
      </c>
      <c r="L153" s="7">
        <v>40</v>
      </c>
      <c r="M153" s="7" t="str">
        <f>IF([1]Data!$B$3="IMH",IF([1]Data!$B$4=$K153,$L153,""),"")</f>
        <v/>
      </c>
    </row>
    <row r="154" spans="1:15" x14ac:dyDescent="0.25">
      <c r="A154" s="6" t="s">
        <v>888</v>
      </c>
      <c r="B154" s="7" t="s">
        <v>882</v>
      </c>
      <c r="C154" s="20">
        <v>164</v>
      </c>
      <c r="D154" s="7" t="str">
        <f>IF(AND(OR([1]Data!B$3="Lh",[1]Data!B$3="A"),[1]Data!B$10="h",[1]Data!B$4=3.25),CONCATENATE(B154," ",A154),"")</f>
        <v/>
      </c>
      <c r="E154" s="7" t="str">
        <f t="shared" si="1"/>
        <v/>
      </c>
      <c r="J154" s="7" t="s">
        <v>1403</v>
      </c>
      <c r="K154" s="7">
        <v>63</v>
      </c>
      <c r="L154" s="7">
        <v>45</v>
      </c>
      <c r="N154" s="7" t="str">
        <f>IF([1]Data!$B$3="IMH",IF([1]Data!$B$4=$K154,$L154,""),"")</f>
        <v/>
      </c>
    </row>
    <row r="155" spans="1:15" x14ac:dyDescent="0.25">
      <c r="A155" s="6" t="s">
        <v>889</v>
      </c>
      <c r="B155" s="7" t="s">
        <v>882</v>
      </c>
      <c r="C155" s="20">
        <v>195</v>
      </c>
      <c r="D155" s="7" t="str">
        <f>IF(AND(OR([1]Data!B$3="Lh",[1]Data!B$3="A"),[1]Data!B$10="h",[1]Data!B$4=4),CONCATENATE(B155," ",A155),"")</f>
        <v/>
      </c>
      <c r="E155" s="7" t="str">
        <f t="shared" si="1"/>
        <v/>
      </c>
      <c r="J155" s="7" t="s">
        <v>1403</v>
      </c>
      <c r="K155" s="7">
        <v>80</v>
      </c>
      <c r="L155" s="7">
        <v>50</v>
      </c>
      <c r="M155" s="7" t="str">
        <f>IF([1]Data!$B$3="IMH",IF([1]Data!$B$4=$K155,$L155,""),"")</f>
        <v/>
      </c>
    </row>
    <row r="156" spans="1:15" x14ac:dyDescent="0.25">
      <c r="A156" s="6" t="s">
        <v>890</v>
      </c>
      <c r="B156" s="7" t="s">
        <v>882</v>
      </c>
      <c r="C156" s="20">
        <v>317</v>
      </c>
      <c r="D156" s="7" t="str">
        <f>IF(AND(OR([1]Data!B$3="Lh",[1]Data!B$3="A"),[1]Data!B$10="h",[1]Data!B$4=5),CONCATENATE(B156," ",A156),"")</f>
        <v/>
      </c>
      <c r="E156" s="7" t="str">
        <f t="shared" si="1"/>
        <v/>
      </c>
      <c r="J156" s="7" t="s">
        <v>1403</v>
      </c>
      <c r="K156" s="7">
        <v>80</v>
      </c>
      <c r="L156" s="7">
        <v>56</v>
      </c>
      <c r="N156" s="7" t="str">
        <f>IF([1]Data!$B$3="IMH",IF([1]Data!$B$4=$K156,$L156,""),"")</f>
        <v/>
      </c>
    </row>
    <row r="157" spans="1:15" x14ac:dyDescent="0.25">
      <c r="A157" s="7" t="s">
        <v>891</v>
      </c>
      <c r="B157" s="7" t="s">
        <v>882</v>
      </c>
      <c r="C157" s="20">
        <v>488</v>
      </c>
      <c r="D157" s="7" t="str">
        <f>IF(AND(OR([1]Data!B$3="Lh",[1]Data!B$3="A"),[1]Data!B$10="h",[1]Data!B$4=6),CONCATENATE(B157," ",A157),"")</f>
        <v/>
      </c>
      <c r="E157" s="7" t="str">
        <f t="shared" si="1"/>
        <v/>
      </c>
      <c r="J157" s="7" t="s">
        <v>1403</v>
      </c>
      <c r="K157" s="7">
        <v>100</v>
      </c>
      <c r="L157" s="7">
        <v>63</v>
      </c>
      <c r="M157" s="7" t="str">
        <f>IF([1]Data!$B$3="IMH",IF([1]Data!$B$4=$K157,$L157,""),"")</f>
        <v/>
      </c>
    </row>
    <row r="158" spans="1:15" x14ac:dyDescent="0.25">
      <c r="A158" s="7" t="s">
        <v>892</v>
      </c>
      <c r="B158" s="7" t="s">
        <v>882</v>
      </c>
      <c r="C158" s="20">
        <v>659</v>
      </c>
      <c r="D158" s="7" t="str">
        <f>IF(AND(OR([1]Data!B$3="Lh",[1]Data!B$3="A"),[1]Data!B$10="h",[1]Data!B$4=7),CONCATENATE(B158," ",A158),"")</f>
        <v/>
      </c>
      <c r="E158" s="7" t="str">
        <f t="shared" si="1"/>
        <v/>
      </c>
      <c r="J158" s="7" t="s">
        <v>1403</v>
      </c>
      <c r="K158" s="7">
        <v>100</v>
      </c>
      <c r="L158" s="7">
        <v>70</v>
      </c>
      <c r="N158" s="7" t="str">
        <f>IF([1]Data!$B$3="IMH",IF([1]Data!$B$4=$K158,$L158,""),"")</f>
        <v/>
      </c>
    </row>
    <row r="159" spans="1:15" x14ac:dyDescent="0.25">
      <c r="A159" s="7" t="s">
        <v>893</v>
      </c>
      <c r="B159" s="7" t="s">
        <v>882</v>
      </c>
      <c r="C159" s="20">
        <v>754</v>
      </c>
      <c r="D159" s="7" t="str">
        <f>IF(AND(OR([1]Data!B$3="Lh",[1]Data!B$3="A"),[1]Data!B$10="h",[1]Data!B$4=8),CONCATENATE(B159," ",A159),"")</f>
        <v/>
      </c>
      <c r="E159" s="7" t="str">
        <f t="shared" si="1"/>
        <v/>
      </c>
      <c r="J159" s="7" t="s">
        <v>1403</v>
      </c>
      <c r="K159" s="7">
        <v>125</v>
      </c>
      <c r="L159" s="7">
        <v>80</v>
      </c>
      <c r="M159" s="7" t="str">
        <f>IF([1]Data!$B$3="IMH",IF([1]Data!$B$4=$K159,$L159,""),"")</f>
        <v/>
      </c>
    </row>
    <row r="160" spans="1:15" x14ac:dyDescent="0.25">
      <c r="A160" s="17" t="s">
        <v>894</v>
      </c>
      <c r="B160" s="18" t="s">
        <v>895</v>
      </c>
      <c r="C160" s="21">
        <v>891</v>
      </c>
      <c r="D160" s="7" t="str">
        <f>IF(AND(OR([1]Data!B$3="Lh",[1]Data!B$3="A"),[1]Data!B$10="l",[1]Data!B$4=10),CONCATENATE(B160," ",A160),"")</f>
        <v/>
      </c>
      <c r="E160" s="7" t="str">
        <f t="shared" si="1"/>
        <v/>
      </c>
      <c r="J160" s="7" t="s">
        <v>1403</v>
      </c>
      <c r="K160" s="7">
        <v>125</v>
      </c>
      <c r="L160" s="7">
        <v>90</v>
      </c>
      <c r="N160" s="7" t="str">
        <f>IF([1]Data!$B$3="IMH",IF([1]Data!$B$4=$K160,$L160,""),"")</f>
        <v/>
      </c>
    </row>
    <row r="161" spans="1:14" x14ac:dyDescent="0.25">
      <c r="A161" s="17" t="s">
        <v>896</v>
      </c>
      <c r="B161" s="18" t="s">
        <v>895</v>
      </c>
      <c r="C161" s="21">
        <v>1161</v>
      </c>
      <c r="D161" s="7" t="str">
        <f>IF(AND(OR([1]Data!B$3="Lh",[1]Data!B$3="A"),[1]Data!B$10="L",[1]Data!B$4=12),CONCATENATE(B161," ",A161),"")</f>
        <v/>
      </c>
      <c r="E161" s="7" t="str">
        <f t="shared" si="1"/>
        <v/>
      </c>
      <c r="J161" s="7" t="s">
        <v>1403</v>
      </c>
      <c r="K161" s="7">
        <v>160</v>
      </c>
      <c r="L161" s="7">
        <v>100</v>
      </c>
      <c r="M161" s="7" t="str">
        <f>IF([1]Data!$B$3="IMH",IF([1]Data!$B$4=$K161,$L161,""),"")</f>
        <v/>
      </c>
    </row>
    <row r="162" spans="1:14" x14ac:dyDescent="0.25">
      <c r="A162" s="17" t="s">
        <v>897</v>
      </c>
      <c r="B162" s="18" t="s">
        <v>895</v>
      </c>
      <c r="C162" s="21">
        <v>1425</v>
      </c>
      <c r="D162" s="7" t="str">
        <f>IF(AND(OR([1]Data!B$3="Lh",[1]Data!B$3="A"),[1]Data!B$10="L",[1]Data!B$4=14),CONCATENATE(B162," ",A162),"")</f>
        <v/>
      </c>
      <c r="E162" s="7" t="str">
        <f t="shared" si="1"/>
        <v/>
      </c>
      <c r="J162" s="7" t="s">
        <v>1403</v>
      </c>
      <c r="K162" s="7">
        <v>160</v>
      </c>
      <c r="L162" s="7">
        <v>110</v>
      </c>
      <c r="N162" s="7" t="str">
        <f>IF([1]Data!$B$3="IMH",IF([1]Data!$B$4=$K162,$L162,""),"")</f>
        <v/>
      </c>
    </row>
    <row r="163" spans="1:14" x14ac:dyDescent="0.25">
      <c r="A163" s="17" t="s">
        <v>898</v>
      </c>
      <c r="B163" s="18" t="s">
        <v>895</v>
      </c>
      <c r="C163" s="21">
        <v>61</v>
      </c>
      <c r="D163" s="7" t="str">
        <f>IF(AND(OR([1]Data!B$3="Lh",[1]Data!B$3="A"),[1]Data!B$10="L",[1]Data!B$4=1.5),CONCATENATE(B163," ",A163),"")</f>
        <v/>
      </c>
      <c r="E163" s="7" t="str">
        <f t="shared" si="1"/>
        <v/>
      </c>
      <c r="J163" s="7" t="s">
        <v>1403</v>
      </c>
      <c r="K163" s="7">
        <v>200</v>
      </c>
      <c r="L163" s="7">
        <v>125</v>
      </c>
      <c r="M163" s="7" t="str">
        <f>IF([1]Data!$B$3="IMH",IF([1]Data!$B$4=$K163,$L163,""),"")</f>
        <v/>
      </c>
    </row>
    <row r="164" spans="1:14" x14ac:dyDescent="0.25">
      <c r="A164" s="17" t="s">
        <v>899</v>
      </c>
      <c r="B164" s="18" t="s">
        <v>895</v>
      </c>
      <c r="C164" s="21">
        <v>75</v>
      </c>
      <c r="D164" s="7" t="str">
        <f>IF(AND(OR([1]Data!B$3="Lh",[1]Data!B$3="A"),[1]Data!B$10="L",[1]Data!B$4=2),CONCATENATE(B164," ",A164),"")</f>
        <v/>
      </c>
      <c r="E164" s="7" t="str">
        <f t="shared" si="1"/>
        <v/>
      </c>
      <c r="J164" s="7" t="s">
        <v>1403</v>
      </c>
      <c r="K164" s="7">
        <v>200</v>
      </c>
      <c r="L164" s="7">
        <v>140</v>
      </c>
      <c r="N164" s="7" t="str">
        <f>IF([1]Data!$B$3="IMH",IF([1]Data!$B$4=$K164,$L164,""),"")</f>
        <v/>
      </c>
    </row>
    <row r="165" spans="1:14" x14ac:dyDescent="0.25">
      <c r="A165" s="17" t="s">
        <v>900</v>
      </c>
      <c r="B165" s="18" t="s">
        <v>895</v>
      </c>
      <c r="C165" s="21">
        <v>87</v>
      </c>
      <c r="D165" s="7" t="str">
        <f>IF(AND(OR([1]Data!B$3="Lh",[1]Data!B$3="A"),[1]Data!B$10="L",[1]Data!B$4=2.5),CONCATENATE(B165," ",A165),"")</f>
        <v/>
      </c>
      <c r="E165" s="7" t="str">
        <f t="shared" si="1"/>
        <v/>
      </c>
      <c r="J165" s="7" t="s">
        <v>1403</v>
      </c>
      <c r="K165" s="7">
        <v>250</v>
      </c>
      <c r="L165" s="7">
        <v>160</v>
      </c>
      <c r="M165" s="7" t="str">
        <f>IF([1]Data!$B$3="IMH",IF([1]Data!$B$4=$K165,$L165,""),"")</f>
        <v/>
      </c>
    </row>
    <row r="166" spans="1:14" x14ac:dyDescent="0.25">
      <c r="A166" s="17" t="s">
        <v>901</v>
      </c>
      <c r="B166" s="18" t="s">
        <v>895</v>
      </c>
      <c r="C166" s="21">
        <v>120</v>
      </c>
      <c r="D166" s="7" t="str">
        <f>IF(AND(OR([1]Data!B$3="Lh",[1]Data!B$3="A"),[1]Data!B$10="L",[1]Data!B$4=3.25),CONCATENATE(B166," ",A166),"")</f>
        <v/>
      </c>
      <c r="E166" s="7" t="str">
        <f t="shared" si="1"/>
        <v/>
      </c>
      <c r="J166" s="7" t="s">
        <v>1403</v>
      </c>
      <c r="K166" s="7">
        <v>250</v>
      </c>
      <c r="L166" s="7">
        <v>180</v>
      </c>
      <c r="N166" s="7" t="str">
        <f>IF([1]Data!$B$3="IMH",IF([1]Data!$B$4=$K166,$L166,""),"")</f>
        <v/>
      </c>
    </row>
    <row r="167" spans="1:14" x14ac:dyDescent="0.25">
      <c r="A167" s="17" t="s">
        <v>902</v>
      </c>
      <c r="B167" s="18" t="s">
        <v>895</v>
      </c>
      <c r="C167" s="21">
        <v>143</v>
      </c>
      <c r="D167" s="7" t="str">
        <f>IF(AND(OR([1]Data!B$3="Lh",[1]Data!B$3="A"),[1]Data!B$10="L",[1]Data!B$4=4),CONCATENATE(B167," ",A167),"")</f>
        <v/>
      </c>
      <c r="E167" s="7" t="str">
        <f t="shared" si="1"/>
        <v/>
      </c>
      <c r="J167" s="7" t="s">
        <v>1403</v>
      </c>
      <c r="K167" s="7">
        <v>320</v>
      </c>
      <c r="L167" s="7">
        <v>200</v>
      </c>
      <c r="M167" s="7" t="str">
        <f>IF([1]Data!$B$3="IMH",IF([1]Data!$B$4=$K167,$L167,""),"")</f>
        <v/>
      </c>
    </row>
    <row r="168" spans="1:14" x14ac:dyDescent="0.25">
      <c r="A168" s="17" t="s">
        <v>903</v>
      </c>
      <c r="B168" s="18" t="s">
        <v>895</v>
      </c>
      <c r="C168" s="21">
        <v>233</v>
      </c>
      <c r="D168" s="7" t="str">
        <f>IF(AND(OR([1]Data!B$3="Lh",[1]Data!B$3="A"),[1]Data!B$10="L",[1]Data!B$4=5),CONCATENATE(B168," ",A168),"")</f>
        <v/>
      </c>
      <c r="E168" s="7" t="str">
        <f t="shared" si="1"/>
        <v/>
      </c>
      <c r="J168" s="7" t="s">
        <v>1403</v>
      </c>
      <c r="K168" s="7">
        <v>320</v>
      </c>
      <c r="L168" s="7">
        <v>220</v>
      </c>
      <c r="N168" s="7" t="str">
        <f>IF([1]Data!$B$3="IMH",IF([1]Data!$B$4=$K168,$L168,""),"")</f>
        <v/>
      </c>
    </row>
    <row r="169" spans="1:14" x14ac:dyDescent="0.25">
      <c r="A169" s="17" t="s">
        <v>904</v>
      </c>
      <c r="B169" s="18" t="s">
        <v>895</v>
      </c>
      <c r="C169" s="21">
        <v>358</v>
      </c>
      <c r="D169" s="7" t="str">
        <f>IF(AND(OR([1]Data!B$3="Lh",[1]Data!B$3="A"),[1]Data!B$10="L",[1]Data!B$4=6),CONCATENATE(B169," ",A169),"")</f>
        <v/>
      </c>
      <c r="E169" s="7" t="str">
        <f t="shared" si="1"/>
        <v/>
      </c>
    </row>
    <row r="170" spans="1:14" x14ac:dyDescent="0.25">
      <c r="A170" s="17" t="s">
        <v>905</v>
      </c>
      <c r="B170" s="18" t="s">
        <v>895</v>
      </c>
      <c r="C170" s="21">
        <v>483</v>
      </c>
      <c r="D170" s="7" t="str">
        <f>IF(AND(OR([1]Data!B$3="Lh",[1]Data!B$3="A"),[1]Data!B$10="L",[1]Data!B$4=7),CONCATENATE(B170," ",A170),"")</f>
        <v/>
      </c>
      <c r="E170" s="7" t="str">
        <f t="shared" si="1"/>
        <v/>
      </c>
    </row>
    <row r="171" spans="1:14" x14ac:dyDescent="0.25">
      <c r="A171" s="17" t="s">
        <v>906</v>
      </c>
      <c r="B171" s="18" t="s">
        <v>895</v>
      </c>
      <c r="C171" s="21">
        <v>553</v>
      </c>
      <c r="D171" s="7" t="str">
        <f>IF(AND(OR([1]Data!B$3="Lh",[1]Data!B$3="A"),[1]Data!B$10="L",[1]Data!B$4=8),CONCATENATE(B171," ",A171),"")</f>
        <v/>
      </c>
      <c r="E171" s="7" t="str">
        <f t="shared" si="1"/>
        <v/>
      </c>
    </row>
    <row r="172" spans="1:14" x14ac:dyDescent="0.25">
      <c r="A172" s="17" t="s">
        <v>907</v>
      </c>
      <c r="B172" s="18" t="s">
        <v>908</v>
      </c>
      <c r="C172" s="21">
        <v>1135</v>
      </c>
      <c r="D172" s="7" t="str">
        <f>IF(AND(OR([1]Data!B$3="Lh",[1]Data!B$3="A"),[1]Data!B$10="V",[1]Data!B$4=10),CONCATENATE(B172," ",A172),"")</f>
        <v/>
      </c>
      <c r="E172" s="7" t="str">
        <f t="shared" si="1"/>
        <v/>
      </c>
    </row>
    <row r="173" spans="1:14" x14ac:dyDescent="0.25">
      <c r="A173" s="17" t="s">
        <v>909</v>
      </c>
      <c r="B173" s="18" t="s">
        <v>908</v>
      </c>
      <c r="C173" s="21">
        <v>1478</v>
      </c>
      <c r="D173" s="7" t="str">
        <f>IF(AND(OR([1]Data!B$3="Lh",[1]Data!B$3="A"),[1]Data!B$10="V",[1]Data!B$4=12),CONCATENATE(B173," ",A173),"")</f>
        <v/>
      </c>
      <c r="E173" s="7" t="str">
        <f t="shared" si="1"/>
        <v/>
      </c>
    </row>
    <row r="174" spans="1:14" x14ac:dyDescent="0.25">
      <c r="A174" s="17" t="s">
        <v>910</v>
      </c>
      <c r="B174" s="18" t="s">
        <v>908</v>
      </c>
      <c r="C174" s="21">
        <v>1812</v>
      </c>
      <c r="D174" s="7" t="str">
        <f>IF(AND(OR([1]Data!B$3="Lh",[1]Data!B$3="A"),[1]Data!B$10="V",[1]Data!B$4=14),CONCATENATE(B174," ",A174),"")</f>
        <v/>
      </c>
      <c r="E174" s="7" t="str">
        <f t="shared" ref="E174:E237" si="2">IF(D174="","",C174)</f>
        <v/>
      </c>
    </row>
    <row r="175" spans="1:14" x14ac:dyDescent="0.25">
      <c r="A175" s="17" t="s">
        <v>911</v>
      </c>
      <c r="B175" s="18" t="s">
        <v>908</v>
      </c>
      <c r="C175" s="21">
        <v>78</v>
      </c>
      <c r="D175" s="7" t="str">
        <f>IF(AND(OR([1]Data!B$3="Lh",[1]Data!B$3="A"),[1]Data!B$10="V",[1]Data!B$4=1.5),CONCATENATE(B175," ",A175),"")</f>
        <v/>
      </c>
      <c r="E175" s="7" t="str">
        <f t="shared" si="2"/>
        <v/>
      </c>
    </row>
    <row r="176" spans="1:14" x14ac:dyDescent="0.25">
      <c r="A176" s="17" t="s">
        <v>912</v>
      </c>
      <c r="B176" s="18" t="s">
        <v>908</v>
      </c>
      <c r="C176" s="21">
        <v>95</v>
      </c>
      <c r="D176" s="7" t="str">
        <f>IF(AND(OR([1]Data!B$3="Lh",[1]Data!B$3="A"),[1]Data!B$10="V",[1]Data!B$4=2),CONCATENATE(B176," ",A176),"")</f>
        <v/>
      </c>
      <c r="E176" s="7" t="str">
        <f t="shared" si="2"/>
        <v/>
      </c>
    </row>
    <row r="177" spans="1:5" x14ac:dyDescent="0.25">
      <c r="A177" s="17" t="s">
        <v>913</v>
      </c>
      <c r="B177" s="18" t="s">
        <v>908</v>
      </c>
      <c r="C177" s="21">
        <v>110</v>
      </c>
      <c r="D177" s="7" t="str">
        <f>IF(AND(OR([1]Data!B$3="Lh",[1]Data!B$3="A"),[1]Data!B$10="V",[1]Data!B$4=2.5),CONCATENATE(B177," ",A177),"")</f>
        <v/>
      </c>
      <c r="E177" s="7" t="str">
        <f t="shared" si="2"/>
        <v/>
      </c>
    </row>
    <row r="178" spans="1:5" x14ac:dyDescent="0.25">
      <c r="A178" s="17" t="s">
        <v>914</v>
      </c>
      <c r="B178" s="18" t="s">
        <v>908</v>
      </c>
      <c r="C178" s="21">
        <v>154</v>
      </c>
      <c r="D178" s="7" t="str">
        <f>IF(AND(OR([1]Data!B$3="Lh",[1]Data!B$3="A"),[1]Data!B$10="V",[1]Data!B$4=3.25),CONCATENATE(B178," ",A178),"")</f>
        <v/>
      </c>
      <c r="E178" s="7" t="str">
        <f t="shared" si="2"/>
        <v/>
      </c>
    </row>
    <row r="179" spans="1:5" x14ac:dyDescent="0.25">
      <c r="A179" s="17" t="s">
        <v>915</v>
      </c>
      <c r="B179" s="18" t="s">
        <v>908</v>
      </c>
      <c r="C179" s="21">
        <v>183</v>
      </c>
      <c r="D179" s="7" t="str">
        <f>IF(AND(OR([1]Data!B$3="Lh",[1]Data!B$3="A"),[1]Data!B$10="V",[1]Data!B$4=4),CONCATENATE(B179," ",A179),"")</f>
        <v/>
      </c>
      <c r="E179" s="7" t="str">
        <f t="shared" si="2"/>
        <v/>
      </c>
    </row>
    <row r="180" spans="1:5" x14ac:dyDescent="0.25">
      <c r="A180" s="17" t="s">
        <v>916</v>
      </c>
      <c r="B180" s="18" t="s">
        <v>908</v>
      </c>
      <c r="C180" s="21">
        <v>297</v>
      </c>
      <c r="D180" s="7" t="str">
        <f>IF(AND(OR([1]Data!B$3="Lh",[1]Data!B$3="A"),[1]Data!B$10="V",[1]Data!B$4=5),CONCATENATE(B180," ",A180),"")</f>
        <v/>
      </c>
      <c r="E180" s="7" t="str">
        <f t="shared" si="2"/>
        <v/>
      </c>
    </row>
    <row r="181" spans="1:5" x14ac:dyDescent="0.25">
      <c r="A181" s="17" t="s">
        <v>917</v>
      </c>
      <c r="B181" s="18" t="s">
        <v>908</v>
      </c>
      <c r="C181" s="21">
        <v>454</v>
      </c>
      <c r="D181" s="7" t="str">
        <f>IF(AND(OR([1]Data!B$3="Lh",[1]Data!B$3="A"),[1]Data!B$10="V",[1]Data!B$4=6),CONCATENATE(B181," ",A181),"")</f>
        <v/>
      </c>
      <c r="E181" s="7" t="str">
        <f t="shared" si="2"/>
        <v/>
      </c>
    </row>
    <row r="182" spans="1:5" x14ac:dyDescent="0.25">
      <c r="A182" s="17" t="s">
        <v>918</v>
      </c>
      <c r="B182" s="18" t="s">
        <v>908</v>
      </c>
      <c r="C182" s="21">
        <v>615</v>
      </c>
      <c r="D182" s="7" t="str">
        <f>IF(AND(OR([1]Data!B$3="Lh",[1]Data!B$3="A"),[1]Data!B$10="V",[1]Data!B$4=7),CONCATENATE(B182," ",A182),"")</f>
        <v/>
      </c>
      <c r="E182" s="7" t="str">
        <f t="shared" si="2"/>
        <v/>
      </c>
    </row>
    <row r="183" spans="1:5" x14ac:dyDescent="0.25">
      <c r="A183" s="17" t="s">
        <v>919</v>
      </c>
      <c r="B183" s="18" t="s">
        <v>908</v>
      </c>
      <c r="C183" s="21">
        <v>704</v>
      </c>
      <c r="D183" s="7" t="str">
        <f>IF(AND(OR([1]Data!B$3="Lh",[1]Data!B$3="A"),[1]Data!B$10="V",[1]Data!B$4=8),CONCATENATE(B183," ",A183),"")</f>
        <v/>
      </c>
      <c r="E183" s="7" t="str">
        <f t="shared" si="2"/>
        <v/>
      </c>
    </row>
    <row r="184" spans="1:5" x14ac:dyDescent="0.25">
      <c r="A184" s="17" t="s">
        <v>920</v>
      </c>
      <c r="B184" s="18" t="s">
        <v>921</v>
      </c>
      <c r="C184" s="21">
        <v>42</v>
      </c>
      <c r="D184" s="7" t="str">
        <f>IF(AND(OR([1]Data!B$3="Lh",[1]Data!B$3="A"),[1]Data!B$10="B",[1]Data!B$6=0.625),CONCATENATE(B184," ",A184),"")</f>
        <v/>
      </c>
      <c r="E184" s="7" t="str">
        <f t="shared" si="2"/>
        <v/>
      </c>
    </row>
    <row r="185" spans="1:5" x14ac:dyDescent="0.25">
      <c r="A185" s="17" t="s">
        <v>922</v>
      </c>
      <c r="B185" s="18" t="s">
        <v>921</v>
      </c>
      <c r="C185" s="21">
        <v>45</v>
      </c>
      <c r="D185" s="7" t="str">
        <f>IF(AND(OR([1]Data!B$3="Lh",[1]Data!B$3="A"),[1]Data!B$10="B",[1]Data!B$6=1),CONCATENATE(B185," ",A185),"")</f>
        <v/>
      </c>
      <c r="E185" s="7" t="str">
        <f t="shared" si="2"/>
        <v/>
      </c>
    </row>
    <row r="186" spans="1:5" x14ac:dyDescent="0.25">
      <c r="A186" s="17" t="s">
        <v>923</v>
      </c>
      <c r="B186" s="18" t="s">
        <v>921</v>
      </c>
      <c r="C186" s="21">
        <v>63</v>
      </c>
      <c r="D186" s="7" t="str">
        <f>IF(AND(OR([1]Data!B$3="Lh",[1]Data!B$3="A"),[1]Data!B$10="B",[1]Data!B$6=1.375),CONCATENATE(B186," ",A186),"")</f>
        <v/>
      </c>
      <c r="E186" s="7" t="str">
        <f t="shared" si="2"/>
        <v/>
      </c>
    </row>
    <row r="187" spans="1:5" x14ac:dyDescent="0.25">
      <c r="A187" s="17" t="s">
        <v>924</v>
      </c>
      <c r="B187" s="18" t="s">
        <v>921</v>
      </c>
      <c r="C187" s="21">
        <v>63</v>
      </c>
      <c r="D187" s="7" t="str">
        <f>IF(AND(OR([1]Data!B$3="Lh",[1]Data!B$3="A"),[1]Data!B$10="B",[1]Data!B$6=1.75),CONCATENATE(B187," ",A187),"")</f>
        <v/>
      </c>
      <c r="E187" s="7" t="str">
        <f t="shared" si="2"/>
        <v/>
      </c>
    </row>
    <row r="188" spans="1:5" x14ac:dyDescent="0.25">
      <c r="A188" s="17" t="s">
        <v>925</v>
      </c>
      <c r="B188" s="18" t="s">
        <v>921</v>
      </c>
      <c r="C188" s="21">
        <v>73</v>
      </c>
      <c r="D188" s="7" t="str">
        <f>IF(AND(OR([1]Data!B$3="Lh",[1]Data!B$3="A"),[1]Data!B$10="B",[1]Data!B$6=2),CONCATENATE(B188," ",A188),"")</f>
        <v/>
      </c>
      <c r="E188" s="7" t="str">
        <f t="shared" si="2"/>
        <v/>
      </c>
    </row>
    <row r="189" spans="1:5" x14ac:dyDescent="0.25">
      <c r="A189" s="17" t="s">
        <v>926</v>
      </c>
      <c r="B189" s="18" t="s">
        <v>921</v>
      </c>
      <c r="C189" s="21">
        <v>83</v>
      </c>
      <c r="D189" s="7" t="str">
        <f>IF(AND(OR([1]Data!B$3="Lh",[1]Data!B$3="A"),[1]Data!B$10="B",[1]Data!B$6=2.5),CONCATENATE(B189," ",A189),"")</f>
        <v/>
      </c>
      <c r="E189" s="7" t="str">
        <f t="shared" si="2"/>
        <v/>
      </c>
    </row>
    <row r="190" spans="1:5" x14ac:dyDescent="0.25">
      <c r="A190" s="17" t="s">
        <v>927</v>
      </c>
      <c r="B190" s="18" t="s">
        <v>921</v>
      </c>
      <c r="C190" s="21">
        <v>117</v>
      </c>
      <c r="D190" s="7" t="str">
        <f>IF(AND(OR([1]Data!B$3="Lh",[1]Data!B$3="A"),[1]Data!B$10="B",[1]Data!B$6=3),CONCATENATE(B190," ",A190),"")</f>
        <v/>
      </c>
      <c r="E190" s="7" t="str">
        <f t="shared" si="2"/>
        <v/>
      </c>
    </row>
    <row r="191" spans="1:5" x14ac:dyDescent="0.25">
      <c r="A191" s="17" t="s">
        <v>928</v>
      </c>
      <c r="B191" s="18" t="s">
        <v>921</v>
      </c>
      <c r="C191" s="21">
        <v>134</v>
      </c>
      <c r="D191" s="7" t="str">
        <f>IF(AND(OR([1]Data!B$3="Lh",[1]Data!B$3="A"),[1]Data!B$10="B",[1]Data!B$6=3.5),CONCATENATE(B191," ",A191),"")</f>
        <v/>
      </c>
      <c r="E191" s="7" t="str">
        <f t="shared" si="2"/>
        <v/>
      </c>
    </row>
    <row r="192" spans="1:5" x14ac:dyDescent="0.25">
      <c r="A192" s="17" t="s">
        <v>929</v>
      </c>
      <c r="B192" s="18" t="s">
        <v>921</v>
      </c>
      <c r="C192" s="21">
        <v>168</v>
      </c>
      <c r="D192" s="7" t="str">
        <f>IF(AND(OR([1]Data!B$3="Lh",[1]Data!B$3="A"),[1]Data!B$10="B",[1]Data!B$6=4),CONCATENATE(B192," ",A192),"")</f>
        <v/>
      </c>
      <c r="E192" s="7" t="str">
        <f t="shared" si="2"/>
        <v/>
      </c>
    </row>
    <row r="193" spans="1:5" x14ac:dyDescent="0.25">
      <c r="A193" s="17" t="s">
        <v>930</v>
      </c>
      <c r="B193" s="18" t="s">
        <v>931</v>
      </c>
      <c r="C193" s="21">
        <v>54</v>
      </c>
      <c r="D193" s="7" t="str">
        <f>IF(AND(OR([1]Data!B$3="Lh",[1]Data!B$3="A"),[1]Data!B$10="L",[1]Data!B$6=0.625),CONCATENATE(B193," ",A193),"")</f>
        <v/>
      </c>
      <c r="E193" s="7" t="str">
        <f t="shared" si="2"/>
        <v/>
      </c>
    </row>
    <row r="194" spans="1:5" x14ac:dyDescent="0.25">
      <c r="A194" s="17" t="s">
        <v>932</v>
      </c>
      <c r="B194" s="18" t="s">
        <v>931</v>
      </c>
      <c r="C194" s="21">
        <v>59</v>
      </c>
      <c r="D194" s="7" t="str">
        <f>IF(AND(OR([1]Data!B$3="Lh",[1]Data!B$3="A"),[1]Data!B$10="L",[1]Data!B$6=1),CONCATENATE(B194," ",A194),"")</f>
        <v/>
      </c>
      <c r="E194" s="7" t="str">
        <f t="shared" si="2"/>
        <v/>
      </c>
    </row>
    <row r="195" spans="1:5" x14ac:dyDescent="0.25">
      <c r="A195" s="17" t="s">
        <v>933</v>
      </c>
      <c r="B195" s="18" t="s">
        <v>931</v>
      </c>
      <c r="C195" s="21">
        <v>82</v>
      </c>
      <c r="D195" s="7" t="str">
        <f>IF(AND(OR([1]Data!B$3="Lh",[1]Data!B$3="A"),[1]Data!B$10="L",[1]Data!B$6=1.375),CONCATENATE(B195," ",A195),"")</f>
        <v/>
      </c>
      <c r="E195" s="7" t="str">
        <f t="shared" si="2"/>
        <v/>
      </c>
    </row>
    <row r="196" spans="1:5" x14ac:dyDescent="0.25">
      <c r="A196" s="17" t="s">
        <v>934</v>
      </c>
      <c r="B196" s="18" t="s">
        <v>931</v>
      </c>
      <c r="C196" s="21">
        <v>82</v>
      </c>
      <c r="D196" s="7" t="str">
        <f>IF(AND(OR([1]Data!B$3="Lh",[1]Data!B$3="A"),[1]Data!B$10="L",[1]Data!B$6=1.75),CONCATENATE(B196," ",A196),"")</f>
        <v/>
      </c>
      <c r="E196" s="7" t="str">
        <f t="shared" si="2"/>
        <v/>
      </c>
    </row>
    <row r="197" spans="1:5" x14ac:dyDescent="0.25">
      <c r="A197" s="17" t="s">
        <v>935</v>
      </c>
      <c r="B197" s="18" t="s">
        <v>931</v>
      </c>
      <c r="C197" s="21">
        <v>95</v>
      </c>
      <c r="D197" s="7" t="str">
        <f>IF(AND(OR([1]Data!B$3="Lh",[1]Data!B$3="A"),[1]Data!B$10="L",[1]Data!B$6=2),CONCATENATE(B197," ",A197),"")</f>
        <v/>
      </c>
      <c r="E197" s="7" t="str">
        <f t="shared" si="2"/>
        <v/>
      </c>
    </row>
    <row r="198" spans="1:5" x14ac:dyDescent="0.25">
      <c r="A198" s="17" t="s">
        <v>936</v>
      </c>
      <c r="B198" s="18" t="s">
        <v>931</v>
      </c>
      <c r="C198" s="21">
        <v>108</v>
      </c>
      <c r="D198" s="7" t="str">
        <f>IF(AND(OR([1]Data!B$3="Lh",[1]Data!B$3="A"),[1]Data!B$10="L",[1]Data!B$6=2.5),CONCATENATE(B198," ",A198),"")</f>
        <v/>
      </c>
      <c r="E198" s="7" t="str">
        <f t="shared" si="2"/>
        <v/>
      </c>
    </row>
    <row r="199" spans="1:5" x14ac:dyDescent="0.25">
      <c r="A199" s="17" t="s">
        <v>937</v>
      </c>
      <c r="B199" s="18" t="s">
        <v>931</v>
      </c>
      <c r="C199" s="21">
        <v>152</v>
      </c>
      <c r="D199" s="7" t="str">
        <f>IF(AND(OR([1]Data!B$3="Lh",[1]Data!B$3="A"),[1]Data!B$10="L",[1]Data!B$6=3),CONCATENATE(B199," ",A199),"")</f>
        <v/>
      </c>
      <c r="E199" s="7" t="str">
        <f t="shared" si="2"/>
        <v/>
      </c>
    </row>
    <row r="200" spans="1:5" x14ac:dyDescent="0.25">
      <c r="A200" s="17" t="s">
        <v>938</v>
      </c>
      <c r="B200" s="18" t="s">
        <v>931</v>
      </c>
      <c r="C200" s="21">
        <v>174</v>
      </c>
      <c r="D200" s="7" t="str">
        <f>IF(AND(OR([1]Data!B$3="Lh",[1]Data!B$3="A"),[1]Data!B$10="L",[1]Data!B$6=3.5),CONCATENATE(B200," ",A200),"")</f>
        <v/>
      </c>
      <c r="E200" s="7" t="str">
        <f t="shared" si="2"/>
        <v/>
      </c>
    </row>
    <row r="201" spans="1:5" x14ac:dyDescent="0.25">
      <c r="A201" s="17" t="s">
        <v>939</v>
      </c>
      <c r="B201" s="18" t="s">
        <v>931</v>
      </c>
      <c r="C201" s="21">
        <v>218</v>
      </c>
      <c r="D201" s="7" t="str">
        <f>IF(AND(OR([1]Data!B$3="Lh",[1]Data!B$3="A"),[1]Data!B$10="L",[1]Data!B$6=4),CONCATENATE(B201," ",A201),"")</f>
        <v/>
      </c>
      <c r="E201" s="7" t="str">
        <f t="shared" si="2"/>
        <v/>
      </c>
    </row>
    <row r="202" spans="1:5" x14ac:dyDescent="0.25">
      <c r="A202" s="17" t="s">
        <v>940</v>
      </c>
      <c r="B202" s="18" t="s">
        <v>941</v>
      </c>
      <c r="C202" s="21">
        <v>59</v>
      </c>
      <c r="D202" s="7" t="str">
        <f>IF(AND(OR([1]Data!B$3="Lh",[1]Data!B$3="A"),[1]Data!B$10="v",[1]Data!B$6=0.625),CONCATENATE(B202," ",A202),"")</f>
        <v/>
      </c>
      <c r="E202" s="7" t="str">
        <f t="shared" si="2"/>
        <v/>
      </c>
    </row>
    <row r="203" spans="1:5" x14ac:dyDescent="0.25">
      <c r="A203" s="17" t="s">
        <v>942</v>
      </c>
      <c r="B203" s="18" t="s">
        <v>941</v>
      </c>
      <c r="C203" s="21">
        <v>63</v>
      </c>
      <c r="D203" s="7" t="str">
        <f>IF(AND(OR([1]Data!B$3="Lh",[1]Data!B$3="A"),[1]Data!B$10="v",[1]Data!B$6=1),CONCATENATE(B203," ",A203),"")</f>
        <v/>
      </c>
      <c r="E203" s="7" t="str">
        <f t="shared" si="2"/>
        <v/>
      </c>
    </row>
    <row r="204" spans="1:5" x14ac:dyDescent="0.25">
      <c r="A204" s="17" t="s">
        <v>943</v>
      </c>
      <c r="B204" s="18" t="s">
        <v>941</v>
      </c>
      <c r="C204" s="21">
        <v>88</v>
      </c>
      <c r="D204" s="7" t="str">
        <f>IF(AND(OR([1]Data!B$3="Lh",[1]Data!B$3="A"),[1]Data!B$10="v",[1]Data!B$6=1.375),CONCATENATE(B204," ",A204),"")</f>
        <v/>
      </c>
      <c r="E204" s="7" t="str">
        <f t="shared" si="2"/>
        <v/>
      </c>
    </row>
    <row r="205" spans="1:5" x14ac:dyDescent="0.25">
      <c r="A205" s="17" t="s">
        <v>944</v>
      </c>
      <c r="B205" s="18" t="s">
        <v>941</v>
      </c>
      <c r="C205" s="21">
        <v>88</v>
      </c>
      <c r="D205" s="7" t="str">
        <f>IF(AND(OR([1]Data!B$3="Lh",[1]Data!B$3="A"),[1]Data!B$10="v",[1]Data!B$6=1.75),CONCATENATE(B205," ",A205),"")</f>
        <v/>
      </c>
      <c r="E205" s="7" t="str">
        <f t="shared" si="2"/>
        <v/>
      </c>
    </row>
    <row r="206" spans="1:5" x14ac:dyDescent="0.25">
      <c r="A206" s="17" t="s">
        <v>945</v>
      </c>
      <c r="B206" s="18" t="s">
        <v>941</v>
      </c>
      <c r="C206" s="21">
        <v>102</v>
      </c>
      <c r="D206" s="7" t="str">
        <f>IF(AND(OR([1]Data!B$3="Lh",[1]Data!B$3="A"),[1]Data!B$10="v",[1]Data!B$6=2),CONCATENATE(B206," ",A206),"")</f>
        <v/>
      </c>
      <c r="E206" s="7" t="str">
        <f t="shared" si="2"/>
        <v/>
      </c>
    </row>
    <row r="207" spans="1:5" x14ac:dyDescent="0.25">
      <c r="A207" s="17" t="s">
        <v>946</v>
      </c>
      <c r="B207" s="18" t="s">
        <v>941</v>
      </c>
      <c r="C207" s="21">
        <v>117</v>
      </c>
      <c r="D207" s="7" t="str">
        <f>IF(AND(OR([1]Data!B$3="Lh",[1]Data!B$3="A"),[1]Data!B$10="v",[1]Data!B$6=2.5),CONCATENATE(B207," ",A207),"")</f>
        <v/>
      </c>
      <c r="E207" s="7" t="str">
        <f t="shared" si="2"/>
        <v/>
      </c>
    </row>
    <row r="208" spans="1:5" x14ac:dyDescent="0.25">
      <c r="A208" s="17" t="s">
        <v>947</v>
      </c>
      <c r="B208" s="18" t="s">
        <v>941</v>
      </c>
      <c r="C208" s="21">
        <v>162</v>
      </c>
      <c r="D208" s="7" t="str">
        <f>IF(AND(OR([1]Data!B$3="Lh",[1]Data!B$3="A"),[1]Data!B$10="v",[1]Data!B$6=3),CONCATENATE(B208," ",A208),"")</f>
        <v/>
      </c>
      <c r="E208" s="7" t="str">
        <f t="shared" si="2"/>
        <v/>
      </c>
    </row>
    <row r="209" spans="1:5" x14ac:dyDescent="0.25">
      <c r="A209" s="17" t="s">
        <v>948</v>
      </c>
      <c r="B209" s="18" t="s">
        <v>941</v>
      </c>
      <c r="C209" s="21">
        <v>188</v>
      </c>
      <c r="D209" s="7" t="str">
        <f>IF(AND(OR([1]Data!B$3="Lh",[1]Data!B$3="A"),[1]Data!B$10="v",[1]Data!B$6=3.5),CONCATENATE(B209," ",A209),"")</f>
        <v/>
      </c>
      <c r="E209" s="7" t="str">
        <f t="shared" si="2"/>
        <v/>
      </c>
    </row>
    <row r="210" spans="1:5" x14ac:dyDescent="0.25">
      <c r="A210" s="17" t="s">
        <v>949</v>
      </c>
      <c r="B210" s="18" t="s">
        <v>941</v>
      </c>
      <c r="C210" s="21">
        <v>234</v>
      </c>
      <c r="D210" s="7" t="str">
        <f>IF(AND(OR([1]Data!B$3="Lh",[1]Data!B$3="A"),[1]Data!B$10="v",[1]Data!B$6=4),CONCATENATE(B210," ",A210),"")</f>
        <v/>
      </c>
      <c r="E210" s="7" t="str">
        <f t="shared" si="2"/>
        <v/>
      </c>
    </row>
    <row r="211" spans="1:5" x14ac:dyDescent="0.25">
      <c r="A211" s="17" t="s">
        <v>950</v>
      </c>
      <c r="B211" s="18" t="s">
        <v>951</v>
      </c>
      <c r="C211" s="21">
        <v>158</v>
      </c>
      <c r="D211" s="7" t="str">
        <f>IF(AND(OR([1]Data!B$3="h",[1]Data!B$3="ph",[1]Data!B$3="mh",[1]Data!$B$3="hm"),[1]Data!B$10="P",[1]Data!B$6=0.625),CONCATENATE(B211," ",A211),"")</f>
        <v/>
      </c>
      <c r="E211" s="7" t="str">
        <f t="shared" si="2"/>
        <v/>
      </c>
    </row>
    <row r="212" spans="1:5" x14ac:dyDescent="0.25">
      <c r="A212" s="17" t="s">
        <v>952</v>
      </c>
      <c r="B212" s="18" t="s">
        <v>951</v>
      </c>
      <c r="C212" s="21">
        <v>205</v>
      </c>
      <c r="D212" s="7" t="str">
        <f>IF(AND(OR([1]Data!B$3="h",[1]Data!B$3="ph",[1]Data!B$3="mh",[1]Data!$B$3="hm"),[1]Data!B$10="P",[1]Data!B$6=1),CONCATENATE(B212," ",A212),"")</f>
        <v/>
      </c>
      <c r="E212" s="7" t="str">
        <f t="shared" si="2"/>
        <v/>
      </c>
    </row>
    <row r="213" spans="1:5" x14ac:dyDescent="0.25">
      <c r="A213" s="17" t="s">
        <v>953</v>
      </c>
      <c r="B213" s="18" t="s">
        <v>951</v>
      </c>
      <c r="C213" s="21">
        <v>4705</v>
      </c>
      <c r="D213" s="7" t="str">
        <f>IF(AND(OR([1]Data!B$3="h",[1]Data!B$3="ph",[1]Data!B$3="mh",[1]Data!$B$3="hm"),[1]Data!B$10="P",[1]Data!B$6=10),CONCATENATE(B213," ",A213),"")</f>
        <v/>
      </c>
      <c r="E213" s="7" t="str">
        <f t="shared" si="2"/>
        <v/>
      </c>
    </row>
    <row r="214" spans="1:5" x14ac:dyDescent="0.25">
      <c r="A214" s="17" t="s">
        <v>954</v>
      </c>
      <c r="B214" s="18" t="s">
        <v>951</v>
      </c>
      <c r="C214" s="21">
        <v>270</v>
      </c>
      <c r="D214" s="7" t="str">
        <f>IF(AND(OR([1]Data!B$3="h",[1]Data!B$3="ph",[1]Data!B$3="mh",[1]Data!$B$3="hm"),[1]Data!B$10="P",[1]Data!B$6=1.375),CONCATENATE(B214," ",A214),"")</f>
        <v/>
      </c>
      <c r="E214" s="7" t="str">
        <f t="shared" si="2"/>
        <v/>
      </c>
    </row>
    <row r="215" spans="1:5" x14ac:dyDescent="0.25">
      <c r="A215" s="17" t="s">
        <v>955</v>
      </c>
      <c r="B215" s="18" t="s">
        <v>951</v>
      </c>
      <c r="C215" s="21">
        <v>334</v>
      </c>
      <c r="D215" s="7" t="str">
        <f>IF(AND(OR([1]Data!B$3="h",[1]Data!B$3="ph",[1]Data!B$3="mh",[1]Data!$B$3="hm"),[1]Data!B$10="P",[1]Data!B$6=1.75),CONCATENATE(B215," ",A215),"")</f>
        <v/>
      </c>
      <c r="E215" s="7" t="str">
        <f t="shared" si="2"/>
        <v/>
      </c>
    </row>
    <row r="216" spans="1:5" x14ac:dyDescent="0.25">
      <c r="A216" s="17" t="s">
        <v>956</v>
      </c>
      <c r="B216" s="18" t="s">
        <v>951</v>
      </c>
      <c r="C216" s="21">
        <v>409</v>
      </c>
      <c r="D216" s="7" t="str">
        <f>IF(AND(OR([1]Data!B$3="h",[1]Data!B$3="ph",[1]Data!B$3="mh",[1]Data!$B$3="hm"),[1]Data!B$10="P",[1]Data!B$6=2),CONCATENATE(B216," ",A216),"")</f>
        <v/>
      </c>
      <c r="E216" s="7" t="str">
        <f t="shared" si="2"/>
        <v/>
      </c>
    </row>
    <row r="217" spans="1:5" x14ac:dyDescent="0.25">
      <c r="A217" s="17" t="s">
        <v>957</v>
      </c>
      <c r="B217" s="18" t="s">
        <v>951</v>
      </c>
      <c r="C217" s="21">
        <v>462</v>
      </c>
      <c r="D217" s="7" t="str">
        <f>IF(AND(OR([1]Data!B$3="h",[1]Data!B$3="ph",[1]Data!B$3="mh",[1]Data!$B$3="hm"),[1]Data!B$10="P",[1]Data!B$6=2.5),CONCATENATE(B217," ",A217),"")</f>
        <v/>
      </c>
      <c r="E217" s="7" t="str">
        <f t="shared" si="2"/>
        <v/>
      </c>
    </row>
    <row r="218" spans="1:5" x14ac:dyDescent="0.25">
      <c r="A218" s="17" t="s">
        <v>958</v>
      </c>
      <c r="B218" s="18" t="s">
        <v>951</v>
      </c>
      <c r="C218" s="21">
        <v>664</v>
      </c>
      <c r="D218" s="7" t="str">
        <f>IF(AND(OR([1]Data!B$3="h",[1]Data!B$3="ph",[1]Data!B$3="mh",[1]Data!$B$3="hm"),[1]Data!B$10="P",[1]Data!B$6=3),CONCATENATE(B218," ",A218),"")</f>
        <v/>
      </c>
      <c r="E218" s="7" t="str">
        <f t="shared" si="2"/>
        <v/>
      </c>
    </row>
    <row r="219" spans="1:5" x14ac:dyDescent="0.25">
      <c r="A219" s="17" t="s">
        <v>959</v>
      </c>
      <c r="B219" s="18" t="s">
        <v>951</v>
      </c>
      <c r="C219" s="21">
        <v>729</v>
      </c>
      <c r="D219" s="7" t="str">
        <f>IF(AND(OR([1]Data!B$3="h",[1]Data!B$3="ph",[1]Data!B$3="mh",[1]Data!$B$3="hm"),[1]Data!B$10="P",[1]Data!B$6=3.5),CONCATENATE(B219," ",A219),"")</f>
        <v/>
      </c>
      <c r="E219" s="7" t="str">
        <f t="shared" si="2"/>
        <v/>
      </c>
    </row>
    <row r="220" spans="1:5" x14ac:dyDescent="0.25">
      <c r="A220" s="17" t="s">
        <v>960</v>
      </c>
      <c r="B220" s="18" t="s">
        <v>951</v>
      </c>
      <c r="C220" s="21">
        <v>857</v>
      </c>
      <c r="D220" s="7" t="str">
        <f>IF(AND(OR([1]Data!B$3="h",[1]Data!B$3="ph",[1]Data!B$3="mh",[1]Data!$B$3="hm"),[1]Data!B$10="P",[1]Data!B$6=4),CONCATENATE(B220," ",A220),"")</f>
        <v/>
      </c>
      <c r="E220" s="7" t="str">
        <f t="shared" si="2"/>
        <v/>
      </c>
    </row>
    <row r="221" spans="1:5" x14ac:dyDescent="0.25">
      <c r="A221" s="17" t="s">
        <v>961</v>
      </c>
      <c r="B221" s="18" t="s">
        <v>951</v>
      </c>
      <c r="C221" s="21">
        <v>1249</v>
      </c>
      <c r="D221" s="7" t="str">
        <f>IF(AND(OR([1]Data!B$3="h",[1]Data!B$3="ph",[1]Data!B$3="mh",[1]Data!$B$3="hm"),[1]Data!B$10="P",[1]Data!B$6=4.5),CONCATENATE(B221," ",A221),"")</f>
        <v/>
      </c>
      <c r="E221" s="7" t="str">
        <f t="shared" si="2"/>
        <v/>
      </c>
    </row>
    <row r="222" spans="1:5" x14ac:dyDescent="0.25">
      <c r="A222" s="17" t="s">
        <v>962</v>
      </c>
      <c r="B222" s="18" t="s">
        <v>951</v>
      </c>
      <c r="C222" s="21">
        <v>1664</v>
      </c>
      <c r="D222" s="7" t="str">
        <f>IF(AND(OR([1]Data!B$3="h",[1]Data!B$3="ph",[1]Data!B$3="mh",[1]Data!$B$3="hm"),[1]Data!B$10="P",[1]Data!B$6=5),CONCATENATE(B222," ",A222),"")</f>
        <v/>
      </c>
      <c r="E222" s="7" t="str">
        <f t="shared" si="2"/>
        <v/>
      </c>
    </row>
    <row r="223" spans="1:5" x14ac:dyDescent="0.25">
      <c r="A223" s="17" t="s">
        <v>963</v>
      </c>
      <c r="B223" s="18" t="s">
        <v>951</v>
      </c>
      <c r="C223" s="21">
        <v>1985</v>
      </c>
      <c r="D223" s="7" t="str">
        <f>IF(AND(OR([1]Data!B$3="h",[1]Data!B$3="ph",[1]Data!B$3="mh",[1]Data!$B$3="hm"),[1]Data!B$10="P",[1]Data!B$6=5.5),CONCATENATE(B223," ",A223),"")</f>
        <v/>
      </c>
      <c r="E223" s="7" t="str">
        <f t="shared" si="2"/>
        <v/>
      </c>
    </row>
    <row r="224" spans="1:5" x14ac:dyDescent="0.25">
      <c r="A224" s="17" t="s">
        <v>964</v>
      </c>
      <c r="B224" s="18" t="s">
        <v>951</v>
      </c>
      <c r="C224" s="21">
        <v>2859</v>
      </c>
      <c r="D224" s="7" t="str">
        <f>IF(AND(OR([1]Data!B$3="h",[1]Data!B$3="ph",[1]Data!B$3="mh",[1]Data!$B$3="hm"),[1]Data!B$10="P",[1]Data!B$6=7),CONCATENATE(B224," ",A224),"")</f>
        <v/>
      </c>
      <c r="E224" s="7" t="str">
        <f t="shared" si="2"/>
        <v/>
      </c>
    </row>
    <row r="225" spans="1:5" x14ac:dyDescent="0.25">
      <c r="A225" s="17" t="s">
        <v>965</v>
      </c>
      <c r="B225" s="18" t="s">
        <v>951</v>
      </c>
      <c r="C225" s="21">
        <v>3782</v>
      </c>
      <c r="D225" s="7" t="str">
        <f>IF(AND(OR([1]Data!B$3="h",[1]Data!B$3="ph",[1]Data!B$3="mh",[1]Data!$B$3="hm"),[1]Data!B$10="P",[1]Data!B$6=8),CONCATENATE(B225," ",A225),"")</f>
        <v/>
      </c>
      <c r="E225" s="7" t="str">
        <f t="shared" si="2"/>
        <v/>
      </c>
    </row>
    <row r="226" spans="1:5" x14ac:dyDescent="0.25">
      <c r="A226" s="17" t="s">
        <v>966</v>
      </c>
      <c r="B226" s="18" t="s">
        <v>967</v>
      </c>
      <c r="C226" s="21">
        <v>221</v>
      </c>
      <c r="D226" s="7" t="str">
        <f>IF(AND(OR([1]Data!B$3="h",[1]Data!B$3="ph",[1]Data!B$3="mh",[1]Data!$B$3="hm"),[1]Data!B$10="H",[1]Data!B$6=0.625),CONCATENATE(B226," ",A226),"")</f>
        <v/>
      </c>
      <c r="E226" s="7" t="str">
        <f t="shared" si="2"/>
        <v/>
      </c>
    </row>
    <row r="227" spans="1:5" x14ac:dyDescent="0.25">
      <c r="A227" s="17" t="s">
        <v>968</v>
      </c>
      <c r="B227" s="18" t="s">
        <v>967</v>
      </c>
      <c r="C227" s="21">
        <v>287</v>
      </c>
      <c r="D227" s="7" t="str">
        <f>IF(AND(OR([1]Data!B$3="h",[1]Data!B$3="ph",[1]Data!B$3="mh",[1]Data!$B$3="hm"),[1]Data!B$10="H",[1]Data!B$6=1),CONCATENATE(B227," ",A227),"")</f>
        <v/>
      </c>
      <c r="E227" s="7" t="str">
        <f t="shared" si="2"/>
        <v/>
      </c>
    </row>
    <row r="228" spans="1:5" x14ac:dyDescent="0.25">
      <c r="A228" s="17" t="s">
        <v>969</v>
      </c>
      <c r="B228" s="18" t="s">
        <v>967</v>
      </c>
      <c r="C228" s="21">
        <v>6587</v>
      </c>
      <c r="D228" s="7" t="str">
        <f>IF(AND(OR([1]Data!B$3="h",[1]Data!B$3="ph",[1]Data!B$3="mh",[1]Data!$B$3="hm"),[1]Data!B$10="H",[1]Data!B$6=10),CONCATENATE(B228," ",A228),"")</f>
        <v/>
      </c>
      <c r="E228" s="7" t="str">
        <f t="shared" si="2"/>
        <v/>
      </c>
    </row>
    <row r="229" spans="1:5" x14ac:dyDescent="0.25">
      <c r="A229" s="17" t="s">
        <v>970</v>
      </c>
      <c r="B229" s="18" t="s">
        <v>967</v>
      </c>
      <c r="C229" s="21">
        <v>378</v>
      </c>
      <c r="D229" s="7" t="str">
        <f>IF(AND(OR([1]Data!B$3="h",[1]Data!B$3="ph",[1]Data!B$3="mh",[1]Data!$B$3="hm"),[1]Data!B$10="H",[1]Data!B$6=1.375),CONCATENATE(B229," ",A229),"")</f>
        <v/>
      </c>
      <c r="E229" s="7" t="str">
        <f t="shared" si="2"/>
        <v/>
      </c>
    </row>
    <row r="230" spans="1:5" x14ac:dyDescent="0.25">
      <c r="A230" s="17" t="s">
        <v>971</v>
      </c>
      <c r="B230" s="18" t="s">
        <v>967</v>
      </c>
      <c r="C230" s="21">
        <v>468</v>
      </c>
      <c r="D230" s="7" t="str">
        <f>IF(AND(OR([1]Data!B$3="h",[1]Data!B$3="ph",[1]Data!B$3="mh",[1]Data!$B$3="hm"),[1]Data!B$10="H",[1]Data!B$6=1.75),CONCATENATE(B230," ",A230),"")</f>
        <v/>
      </c>
      <c r="E230" s="7" t="str">
        <f t="shared" si="2"/>
        <v/>
      </c>
    </row>
    <row r="231" spans="1:5" x14ac:dyDescent="0.25">
      <c r="A231" s="17" t="s">
        <v>972</v>
      </c>
      <c r="B231" s="18" t="s">
        <v>967</v>
      </c>
      <c r="C231" s="21">
        <v>573</v>
      </c>
      <c r="D231" s="7" t="str">
        <f>IF(AND(OR([1]Data!B$3="h",[1]Data!B$3="ph",[1]Data!B$3="mh",[1]Data!$B$3="hm"),[1]Data!B$10="H",[1]Data!B$6=2),CONCATENATE(B231," ",A231),"")</f>
        <v/>
      </c>
      <c r="E231" s="7" t="str">
        <f t="shared" si="2"/>
        <v/>
      </c>
    </row>
    <row r="232" spans="1:5" x14ac:dyDescent="0.25">
      <c r="A232" s="17" t="s">
        <v>973</v>
      </c>
      <c r="B232" s="18" t="s">
        <v>967</v>
      </c>
      <c r="C232" s="21">
        <v>646</v>
      </c>
      <c r="D232" s="7" t="str">
        <f>IF(AND(OR([1]Data!B$3="h",[1]Data!B$3="ph",[1]Data!B$3="mh",[1]Data!$B$3="hm"),[1]Data!B$10="H",[1]Data!B$6=2.5),CONCATENATE(B232," ",A232),"")</f>
        <v/>
      </c>
      <c r="E232" s="7" t="str">
        <f t="shared" si="2"/>
        <v/>
      </c>
    </row>
    <row r="233" spans="1:5" x14ac:dyDescent="0.25">
      <c r="A233" s="17" t="s">
        <v>974</v>
      </c>
      <c r="B233" s="18" t="s">
        <v>967</v>
      </c>
      <c r="C233" s="21">
        <v>930</v>
      </c>
      <c r="D233" s="7" t="str">
        <f>IF(AND(OR([1]Data!B$3="h",[1]Data!B$3="ph",[1]Data!B$3="mh",[1]Data!$B$3="hm"),[1]Data!B$10="H",[1]Data!B$6=3),CONCATENATE(B233," ",A233),"")</f>
        <v/>
      </c>
      <c r="E233" s="7" t="str">
        <f t="shared" si="2"/>
        <v/>
      </c>
    </row>
    <row r="234" spans="1:5" x14ac:dyDescent="0.25">
      <c r="A234" s="17" t="s">
        <v>975</v>
      </c>
      <c r="B234" s="18" t="s">
        <v>967</v>
      </c>
      <c r="C234" s="21">
        <v>1021</v>
      </c>
      <c r="D234" s="7" t="str">
        <f>IF(AND(OR([1]Data!B$3="h",[1]Data!B$3="ph",[1]Data!B$3="mh",[1]Data!$B$3="hm"),[1]Data!B$10="H",[1]Data!B$6=3.5),CONCATENATE(B234," ",A234),"")</f>
        <v/>
      </c>
      <c r="E234" s="7" t="str">
        <f t="shared" si="2"/>
        <v/>
      </c>
    </row>
    <row r="235" spans="1:5" x14ac:dyDescent="0.25">
      <c r="A235" s="17" t="s">
        <v>976</v>
      </c>
      <c r="B235" s="18" t="s">
        <v>967</v>
      </c>
      <c r="C235" s="21">
        <v>1199</v>
      </c>
      <c r="D235" s="7" t="str">
        <f>IF(AND(OR([1]Data!B$3="h",[1]Data!B$3="ph",[1]Data!B$3="mh",[1]Data!$B$3="hm"),[1]Data!B$10="H",[1]Data!B$6=4),CONCATENATE(B235," ",A235),"")</f>
        <v/>
      </c>
      <c r="E235" s="7" t="str">
        <f t="shared" si="2"/>
        <v/>
      </c>
    </row>
    <row r="236" spans="1:5" x14ac:dyDescent="0.25">
      <c r="A236" s="17" t="s">
        <v>977</v>
      </c>
      <c r="B236" s="18" t="s">
        <v>967</v>
      </c>
      <c r="C236" s="21">
        <v>1749</v>
      </c>
      <c r="D236" s="7" t="str">
        <f>IF(AND(OR([1]Data!B$3="h",[1]Data!B$3="ph",[1]Data!B$3="mh",[1]Data!$B$3="hm"),[1]Data!B$10="H",[1]Data!B$6=4.5),CONCATENATE(B236," ",A236),"")</f>
        <v/>
      </c>
      <c r="E236" s="7" t="str">
        <f t="shared" si="2"/>
        <v/>
      </c>
    </row>
    <row r="237" spans="1:5" x14ac:dyDescent="0.25">
      <c r="A237" s="17" t="s">
        <v>978</v>
      </c>
      <c r="B237" s="18" t="s">
        <v>967</v>
      </c>
      <c r="C237" s="21">
        <v>2330</v>
      </c>
      <c r="D237" s="7" t="str">
        <f>IF(AND(OR([1]Data!B$3="h",[1]Data!B$3="ph",[1]Data!B$3="mh",[1]Data!$B$3="hm"),[1]Data!B$10="H",[1]Data!B$6=5),CONCATENATE(B237," ",A237),"")</f>
        <v/>
      </c>
      <c r="E237" s="7" t="str">
        <f t="shared" si="2"/>
        <v/>
      </c>
    </row>
    <row r="238" spans="1:5" x14ac:dyDescent="0.25">
      <c r="A238" s="17" t="s">
        <v>979</v>
      </c>
      <c r="B238" s="18" t="s">
        <v>967</v>
      </c>
      <c r="C238" s="21">
        <v>2779</v>
      </c>
      <c r="D238" s="7" t="str">
        <f>IF(AND(OR([1]Data!B$3="h",[1]Data!B$3="ph",[1]Data!B$3="mh",[1]Data!$B$3="hm"),[1]Data!B$10="H",[1]Data!B$6=5.5),CONCATENATE(B238," ",A238),"")</f>
        <v/>
      </c>
      <c r="E238" s="7" t="str">
        <f t="shared" ref="E238:E301" si="3">IF(D238="","",C238)</f>
        <v/>
      </c>
    </row>
    <row r="239" spans="1:5" x14ac:dyDescent="0.25">
      <c r="A239" s="17" t="s">
        <v>980</v>
      </c>
      <c r="B239" s="18" t="s">
        <v>967</v>
      </c>
      <c r="C239" s="21">
        <v>4003</v>
      </c>
      <c r="D239" s="7" t="str">
        <f>IF(AND(OR([1]Data!B$3="h",[1]Data!B$3="ph",[1]Data!B$3="mh",[1]Data!$B$3="hm"),[1]Data!B$10="H",[1]Data!B$6=7),CONCATENATE(B239," ",A239),"")</f>
        <v/>
      </c>
      <c r="E239" s="7" t="str">
        <f t="shared" si="3"/>
        <v/>
      </c>
    </row>
    <row r="240" spans="1:5" x14ac:dyDescent="0.25">
      <c r="A240" s="17" t="s">
        <v>981</v>
      </c>
      <c r="B240" s="18" t="s">
        <v>967</v>
      </c>
      <c r="C240" s="21">
        <v>5294</v>
      </c>
      <c r="D240" s="7" t="str">
        <f>IF(AND(OR([1]Data!B$3="h",[1]Data!B$3="ph",[1]Data!B$3="mh",[1]Data!$B$3="hm"),[1]Data!B$10="H",[1]Data!B$6=8),CONCATENATE(B240," ",A240),"")</f>
        <v/>
      </c>
      <c r="E240" s="7" t="str">
        <f t="shared" si="3"/>
        <v/>
      </c>
    </row>
    <row r="241" spans="1:5" x14ac:dyDescent="0.25">
      <c r="A241" s="17" t="s">
        <v>982</v>
      </c>
      <c r="B241" s="18" t="s">
        <v>983</v>
      </c>
      <c r="C241" s="21">
        <v>221</v>
      </c>
      <c r="D241" s="7" t="str">
        <f>IF(AND([1]Data!B$10="L",[1]Data!B$6=0.625),CONCATENATE(B241," ",A241),"")</f>
        <v/>
      </c>
      <c r="E241" s="7" t="str">
        <f t="shared" si="3"/>
        <v/>
      </c>
    </row>
    <row r="242" spans="1:5" x14ac:dyDescent="0.25">
      <c r="A242" s="17" t="s">
        <v>984</v>
      </c>
      <c r="B242" s="18" t="s">
        <v>983</v>
      </c>
      <c r="C242" s="21">
        <v>287</v>
      </c>
      <c r="D242" s="7" t="str">
        <f>IF(AND([1]Data!B$10="L",[1]Data!B$6=1),CONCATENATE(B242," ",A242),"")</f>
        <v/>
      </c>
      <c r="E242" s="7" t="str">
        <f t="shared" si="3"/>
        <v/>
      </c>
    </row>
    <row r="243" spans="1:5" x14ac:dyDescent="0.25">
      <c r="A243" s="17" t="s">
        <v>985</v>
      </c>
      <c r="B243" s="18" t="s">
        <v>983</v>
      </c>
      <c r="C243" s="21">
        <v>6587</v>
      </c>
      <c r="D243" s="7" t="str">
        <f>IF(AND([1]Data!B$10="L",[1]Data!B$6=10),CONCATENATE(B243," ",A243),"")</f>
        <v/>
      </c>
      <c r="E243" s="7" t="str">
        <f t="shared" si="3"/>
        <v/>
      </c>
    </row>
    <row r="244" spans="1:5" x14ac:dyDescent="0.25">
      <c r="A244" s="17" t="s">
        <v>987</v>
      </c>
      <c r="B244" s="18" t="s">
        <v>983</v>
      </c>
      <c r="C244" s="21">
        <v>378</v>
      </c>
      <c r="D244" s="7" t="str">
        <f>IF(AND([1]Data!B$10="L",[1]Data!B$6=1.375),CONCATENATE(B244," ",A244),"")</f>
        <v/>
      </c>
      <c r="E244" s="7" t="str">
        <f t="shared" si="3"/>
        <v/>
      </c>
    </row>
    <row r="245" spans="1:5" x14ac:dyDescent="0.25">
      <c r="A245" s="17" t="s">
        <v>988</v>
      </c>
      <c r="B245" s="18" t="s">
        <v>983</v>
      </c>
      <c r="C245" s="21">
        <v>468</v>
      </c>
      <c r="D245" s="7" t="str">
        <f>IF(AND([1]Data!B$10="L",[1]Data!B$6=1.75),CONCATENATE(B245," ",A245),"")</f>
        <v/>
      </c>
      <c r="E245" s="7" t="str">
        <f t="shared" si="3"/>
        <v/>
      </c>
    </row>
    <row r="246" spans="1:5" x14ac:dyDescent="0.25">
      <c r="A246" s="17" t="s">
        <v>989</v>
      </c>
      <c r="B246" s="18" t="s">
        <v>983</v>
      </c>
      <c r="C246" s="21">
        <v>573</v>
      </c>
      <c r="D246" s="7" t="str">
        <f>IF(AND([1]Data!B$10="L",[1]Data!B$6=2),CONCATENATE(B246," ",A246),"")</f>
        <v/>
      </c>
      <c r="E246" s="7" t="str">
        <f t="shared" si="3"/>
        <v/>
      </c>
    </row>
    <row r="247" spans="1:5" x14ac:dyDescent="0.25">
      <c r="A247" s="17" t="s">
        <v>990</v>
      </c>
      <c r="B247" s="18" t="s">
        <v>983</v>
      </c>
      <c r="C247" s="21">
        <v>646</v>
      </c>
      <c r="D247" s="7" t="str">
        <f>IF(AND([1]Data!B$10="L",[1]Data!B$6=2.5),CONCATENATE(B247," ",A247),"")</f>
        <v/>
      </c>
      <c r="E247" s="7" t="str">
        <f t="shared" si="3"/>
        <v/>
      </c>
    </row>
    <row r="248" spans="1:5" x14ac:dyDescent="0.25">
      <c r="A248" s="17" t="s">
        <v>991</v>
      </c>
      <c r="B248" s="18" t="s">
        <v>983</v>
      </c>
      <c r="C248" s="21">
        <v>930</v>
      </c>
      <c r="D248" s="7" t="str">
        <f>IF(AND([1]Data!B$10="L",[1]Data!B$6=3),CONCATENATE(B248," ",A248),"")</f>
        <v/>
      </c>
      <c r="E248" s="7" t="str">
        <f t="shared" si="3"/>
        <v/>
      </c>
    </row>
    <row r="249" spans="1:5" x14ac:dyDescent="0.25">
      <c r="A249" s="17" t="s">
        <v>992</v>
      </c>
      <c r="B249" s="18" t="s">
        <v>983</v>
      </c>
      <c r="C249" s="21">
        <v>1021</v>
      </c>
      <c r="D249" s="7" t="str">
        <f>IF(AND([1]Data!B$10="L",[1]Data!B$6=3.5),CONCATENATE(B249," ",A249),"")</f>
        <v/>
      </c>
      <c r="E249" s="7" t="str">
        <f t="shared" si="3"/>
        <v/>
      </c>
    </row>
    <row r="250" spans="1:5" x14ac:dyDescent="0.25">
      <c r="A250" s="17" t="s">
        <v>993</v>
      </c>
      <c r="B250" s="18" t="s">
        <v>983</v>
      </c>
      <c r="C250" s="21">
        <v>1199</v>
      </c>
      <c r="D250" s="7" t="str">
        <f>IF(AND([1]Data!B$10="L",[1]Data!B$6=4),CONCATENATE(B250," ",A250),"")</f>
        <v/>
      </c>
      <c r="E250" s="7" t="str">
        <f t="shared" si="3"/>
        <v/>
      </c>
    </row>
    <row r="251" spans="1:5" x14ac:dyDescent="0.25">
      <c r="A251" s="17" t="s">
        <v>994</v>
      </c>
      <c r="B251" s="18" t="s">
        <v>983</v>
      </c>
      <c r="C251" s="21">
        <v>1749</v>
      </c>
      <c r="D251" s="7" t="str">
        <f>IF(AND([1]Data!B$10="L",[1]Data!B$6=4.5),CONCATENATE(B251," ",A251),"")</f>
        <v/>
      </c>
      <c r="E251" s="7" t="str">
        <f t="shared" si="3"/>
        <v/>
      </c>
    </row>
    <row r="252" spans="1:5" x14ac:dyDescent="0.25">
      <c r="A252" s="17" t="s">
        <v>995</v>
      </c>
      <c r="B252" s="18" t="s">
        <v>983</v>
      </c>
      <c r="C252" s="21">
        <v>2330</v>
      </c>
      <c r="D252" s="7" t="str">
        <f>IF(AND([1]Data!B$10="L",[1]Data!B$6=5),CONCATENATE(B252," ",A252),"")</f>
        <v/>
      </c>
      <c r="E252" s="7" t="str">
        <f t="shared" si="3"/>
        <v/>
      </c>
    </row>
    <row r="253" spans="1:5" x14ac:dyDescent="0.25">
      <c r="A253" s="17" t="s">
        <v>996</v>
      </c>
      <c r="B253" s="18" t="s">
        <v>983</v>
      </c>
      <c r="C253" s="21">
        <v>2779</v>
      </c>
      <c r="D253" s="7" t="str">
        <f>IF(AND([1]Data!B$10="L",[1]Data!B$6=5.5),CONCATENATE(B253," ",A253),"")</f>
        <v/>
      </c>
      <c r="E253" s="7" t="str">
        <f t="shared" si="3"/>
        <v/>
      </c>
    </row>
    <row r="254" spans="1:5" x14ac:dyDescent="0.25">
      <c r="A254" s="17" t="s">
        <v>997</v>
      </c>
      <c r="B254" s="18" t="s">
        <v>983</v>
      </c>
      <c r="C254" s="21">
        <v>4003</v>
      </c>
      <c r="D254" s="7" t="str">
        <f>IF(AND([1]Data!B$10="L",[1]Data!B$6=7),CONCATENATE(B254," ",A254),"")</f>
        <v/>
      </c>
      <c r="E254" s="7" t="str">
        <f t="shared" si="3"/>
        <v/>
      </c>
    </row>
    <row r="255" spans="1:5" x14ac:dyDescent="0.25">
      <c r="A255" s="17" t="s">
        <v>998</v>
      </c>
      <c r="B255" s="18" t="s">
        <v>983</v>
      </c>
      <c r="C255" s="21">
        <v>5294</v>
      </c>
      <c r="D255" s="7" t="str">
        <f>IF(AND([1]Data!B$10="L",[1]Data!B$6=8),CONCATENATE(B255," ",A255),"")</f>
        <v/>
      </c>
      <c r="E255" s="7" t="str">
        <f t="shared" si="3"/>
        <v/>
      </c>
    </row>
    <row r="256" spans="1:5" x14ac:dyDescent="0.25">
      <c r="A256" s="17" t="s">
        <v>999</v>
      </c>
      <c r="B256" s="18" t="s">
        <v>1000</v>
      </c>
      <c r="C256" s="21">
        <v>205</v>
      </c>
      <c r="D256" s="7" t="str">
        <f>IF(AND(OR([1]Data!B$3="h",[1]Data!B$3="ph",[1]Data!B$3="mh",[1]Data!$B$3="hm"),[1]Data!B$10="V",[1]Data!B$6=0.625),CONCATENATE(B256," ",A256),"")</f>
        <v/>
      </c>
      <c r="E256" s="7" t="str">
        <f t="shared" si="3"/>
        <v/>
      </c>
    </row>
    <row r="257" spans="1:5" x14ac:dyDescent="0.25">
      <c r="A257" s="17" t="s">
        <v>1001</v>
      </c>
      <c r="B257" s="18" t="s">
        <v>1000</v>
      </c>
      <c r="C257" s="21">
        <v>268</v>
      </c>
      <c r="D257" s="7" t="str">
        <f>IF(AND(OR([1]Data!B$3="h",[1]Data!B$3="ph",[1]Data!B$3="mh",[1]Data!$B$3="hm"),[1]Data!B$10="V",[1]Data!B$6=1),CONCATENATE(B257," ",A257),"")</f>
        <v/>
      </c>
      <c r="E257" s="7" t="str">
        <f t="shared" si="3"/>
        <v/>
      </c>
    </row>
    <row r="258" spans="1:5" x14ac:dyDescent="0.25">
      <c r="A258" s="17" t="s">
        <v>1002</v>
      </c>
      <c r="B258" s="17" t="s">
        <v>1000</v>
      </c>
      <c r="C258" s="21">
        <v>6118</v>
      </c>
      <c r="D258" s="7" t="str">
        <f>IF(AND(OR([1]Data!B$3="h",[1]Data!B$3="ph",[1]Data!B$3="mh",[1]Data!$B$3="hm"),[1]Data!B$10="V",[1]Data!B$6=10),CONCATENATE(B258," ",A258),"")</f>
        <v/>
      </c>
      <c r="E258" s="7" t="str">
        <f t="shared" si="3"/>
        <v/>
      </c>
    </row>
    <row r="259" spans="1:5" x14ac:dyDescent="0.25">
      <c r="A259" s="17" t="s">
        <v>1003</v>
      </c>
      <c r="B259" s="18" t="s">
        <v>1000</v>
      </c>
      <c r="C259" s="21">
        <v>352</v>
      </c>
      <c r="D259" s="7" t="str">
        <f>IF(AND(OR([1]Data!B$3="h",[1]Data!B$3="ph",[1]Data!B$3="mh",[1]Data!$B$3="hm"),[1]Data!B$10="V",[1]Data!B$6=1.375),CONCATENATE(B259," ",A259),"")</f>
        <v/>
      </c>
      <c r="E259" s="7" t="str">
        <f t="shared" si="3"/>
        <v/>
      </c>
    </row>
    <row r="260" spans="1:5" x14ac:dyDescent="0.25">
      <c r="A260" s="17" t="s">
        <v>1004</v>
      </c>
      <c r="B260" s="18" t="s">
        <v>1000</v>
      </c>
      <c r="C260" s="21">
        <v>435</v>
      </c>
      <c r="D260" s="7" t="str">
        <f>IF(AND(OR([1]Data!B$3="h",[1]Data!B$3="ph",[1]Data!B$3="mh",[1]Data!$B$3="hm"),[1]Data!B$10="V",[1]Data!B$6=1.75),CONCATENATE(B260," ",A260),"")</f>
        <v/>
      </c>
      <c r="E260" s="7" t="str">
        <f t="shared" si="3"/>
        <v/>
      </c>
    </row>
    <row r="261" spans="1:5" x14ac:dyDescent="0.25">
      <c r="A261" s="17" t="s">
        <v>1005</v>
      </c>
      <c r="B261" s="18" t="s">
        <v>1000</v>
      </c>
      <c r="C261" s="21">
        <v>533</v>
      </c>
      <c r="D261" s="7" t="str">
        <f>IF(AND(OR([1]Data!B$3="h",[1]Data!B$3="ph",[1]Data!B$3="mh",[1]Data!$B$3="hm"),[1]Data!B$10="V",[1]Data!B$6=2),CONCATENATE(B261," ",A261),"")</f>
        <v/>
      </c>
      <c r="E261" s="7" t="str">
        <f t="shared" si="3"/>
        <v/>
      </c>
    </row>
    <row r="262" spans="1:5" x14ac:dyDescent="0.25">
      <c r="A262" s="17" t="s">
        <v>1006</v>
      </c>
      <c r="B262" s="18" t="s">
        <v>1000</v>
      </c>
      <c r="C262" s="21">
        <v>600</v>
      </c>
      <c r="D262" s="7" t="str">
        <f>IF(AND(OR([1]Data!B$3="h",[1]Data!B$3="ph",[1]Data!B$3="mh",[1]Data!$B$3="hm"),[1]Data!B$10="V",[1]Data!B$6=2.5),CONCATENATE(B262," ",A262),"")</f>
        <v/>
      </c>
      <c r="E262" s="7" t="str">
        <f t="shared" si="3"/>
        <v/>
      </c>
    </row>
    <row r="263" spans="1:5" x14ac:dyDescent="0.25">
      <c r="A263" s="17" t="s">
        <v>1007</v>
      </c>
      <c r="B263" s="18" t="s">
        <v>1000</v>
      </c>
      <c r="C263" s="21">
        <v>864</v>
      </c>
      <c r="D263" s="7" t="str">
        <f>IF(AND(OR([1]Data!B$3="h",[1]Data!B$3="ph",[1]Data!B$3="mh",[1]Data!$B$3="hm"),[1]Data!B$10="V",[1]Data!B$6=3),CONCATENATE(B263," ",A263),"")</f>
        <v/>
      </c>
      <c r="E263" s="7" t="str">
        <f t="shared" si="3"/>
        <v/>
      </c>
    </row>
    <row r="264" spans="1:5" x14ac:dyDescent="0.25">
      <c r="A264" s="17" t="s">
        <v>1008</v>
      </c>
      <c r="B264" s="18" t="s">
        <v>1000</v>
      </c>
      <c r="C264" s="21">
        <v>948</v>
      </c>
      <c r="D264" s="7" t="str">
        <f>IF(AND(OR([1]Data!B$3="h",[1]Data!B$3="ph",[1]Data!B$3="mh",[1]Data!$B$3="hm"),[1]Data!B$10="V",[1]Data!B$6=3.5),CONCATENATE(B264," ",A264),"")</f>
        <v/>
      </c>
      <c r="E264" s="7" t="str">
        <f t="shared" si="3"/>
        <v/>
      </c>
    </row>
    <row r="265" spans="1:5" x14ac:dyDescent="0.25">
      <c r="A265" s="17" t="s">
        <v>1009</v>
      </c>
      <c r="B265" s="18" t="s">
        <v>1000</v>
      </c>
      <c r="C265" s="21">
        <v>1114</v>
      </c>
      <c r="D265" s="7" t="str">
        <f>IF(AND(OR([1]Data!B$3="h",[1]Data!B$3="ph",[1]Data!B$3="mh",[1]Data!$B$3="hm"),[1]Data!B$10="V",[1]Data!B$6=4),CONCATENATE(B265," ",A265),"")</f>
        <v/>
      </c>
      <c r="E265" s="7" t="str">
        <f t="shared" si="3"/>
        <v/>
      </c>
    </row>
    <row r="266" spans="1:5" x14ac:dyDescent="0.25">
      <c r="A266" s="17" t="s">
        <v>1010</v>
      </c>
      <c r="B266" s="18" t="s">
        <v>1000</v>
      </c>
      <c r="C266" s="21">
        <v>1624</v>
      </c>
      <c r="D266" s="7" t="str">
        <f>IF(AND(OR([1]Data!B$3="h",[1]Data!B$3="ph",[1]Data!B$3="mh",[1]Data!$B$3="hm"),[1]Data!B$10="V",[1]Data!B$6=4.5),CONCATENATE(B266," ",A266),"")</f>
        <v/>
      </c>
      <c r="E266" s="7" t="str">
        <f t="shared" si="3"/>
        <v/>
      </c>
    </row>
    <row r="267" spans="1:5" x14ac:dyDescent="0.25">
      <c r="A267" s="17" t="s">
        <v>1011</v>
      </c>
      <c r="B267" s="18" t="s">
        <v>1000</v>
      </c>
      <c r="C267" s="21">
        <v>2164</v>
      </c>
      <c r="D267" s="7" t="str">
        <f>IF(AND(OR([1]Data!B$3="h",[1]Data!B$3="ph",[1]Data!B$3="mh",[1]Data!$B$3="hm"),[1]Data!B$10="V",[1]Data!B$6=5),CONCATENATE(B267," ",A267),"")</f>
        <v/>
      </c>
      <c r="E267" s="7" t="str">
        <f t="shared" si="3"/>
        <v/>
      </c>
    </row>
    <row r="268" spans="1:5" x14ac:dyDescent="0.25">
      <c r="A268" s="17" t="s">
        <v>1012</v>
      </c>
      <c r="B268" s="18" t="s">
        <v>1000</v>
      </c>
      <c r="C268" s="21">
        <v>2582</v>
      </c>
      <c r="D268" s="7" t="str">
        <f>IF(AND(OR([1]Data!B$3="h",[1]Data!B$3="ph",[1]Data!B$3="mh",[1]Data!$B$3="hm"),[1]Data!B$10="V",[1]Data!B$6=5.5),CONCATENATE(B268," ",A268),"")</f>
        <v/>
      </c>
      <c r="E268" s="7" t="str">
        <f t="shared" si="3"/>
        <v/>
      </c>
    </row>
    <row r="269" spans="1:5" x14ac:dyDescent="0.25">
      <c r="A269" s="17" t="s">
        <v>1013</v>
      </c>
      <c r="B269" s="18" t="s">
        <v>1000</v>
      </c>
      <c r="C269" s="21">
        <v>3718</v>
      </c>
      <c r="D269" s="7" t="str">
        <f>IF(AND(OR([1]Data!B$3="h",[1]Data!B$3="ph",[1]Data!B$3="mh",[1]Data!$B$3="hm"),[1]Data!B$10="V",[1]Data!B$6=7),CONCATENATE(B269," ",A269),"")</f>
        <v/>
      </c>
      <c r="E269" s="7" t="str">
        <f t="shared" si="3"/>
        <v/>
      </c>
    </row>
    <row r="270" spans="1:5" x14ac:dyDescent="0.25">
      <c r="A270" s="17" t="s">
        <v>1014</v>
      </c>
      <c r="B270" s="17" t="s">
        <v>1000</v>
      </c>
      <c r="C270" s="21">
        <v>4917</v>
      </c>
      <c r="D270" s="7" t="str">
        <f>IF(AND(OR([1]Data!B$3="h",[1]Data!B$3="ph",[1]Data!B$3="mh",[1]Data!$B$3="hm"),[1]Data!B$10="V",[1]Data!B$6=8),CONCATENATE(B270," ",A270),"")</f>
        <v/>
      </c>
      <c r="E270" s="7" t="str">
        <f t="shared" si="3"/>
        <v/>
      </c>
    </row>
    <row r="271" spans="1:5" x14ac:dyDescent="0.25">
      <c r="A271" s="17" t="s">
        <v>1015</v>
      </c>
      <c r="B271" s="17" t="s">
        <v>1016</v>
      </c>
      <c r="C271" s="21">
        <v>892</v>
      </c>
      <c r="D271" s="7" t="str">
        <f>IF(AND(OR([1]Data!B$3="h",[1]Data!B$3="ph",[1]Data!B$3="mh",[1]Data!$B$3="hm"),[1]Data!B$10="P",[1]Data!B$4=10),CONCATENATE(B271," ",A271),"")</f>
        <v/>
      </c>
      <c r="E271" s="7" t="str">
        <f t="shared" si="3"/>
        <v/>
      </c>
    </row>
    <row r="272" spans="1:5" x14ac:dyDescent="0.25">
      <c r="A272" s="17" t="s">
        <v>1017</v>
      </c>
      <c r="B272" s="17" t="s">
        <v>1016</v>
      </c>
      <c r="C272" s="21">
        <v>1162</v>
      </c>
      <c r="D272" s="7" t="str">
        <f>IF(AND(OR([1]Data!B$3="h",[1]Data!B$3="ph",[1]Data!B$3="mh",[1]Data!$B$3="hm"),[1]Data!B$10="P",[1]Data!B$4=12),CONCATENATE(B272," ",A272),"")</f>
        <v/>
      </c>
      <c r="E272" s="7" t="str">
        <f t="shared" si="3"/>
        <v/>
      </c>
    </row>
    <row r="273" spans="1:5" x14ac:dyDescent="0.25">
      <c r="A273" s="17" t="s">
        <v>1018</v>
      </c>
      <c r="B273" s="17" t="s">
        <v>1016</v>
      </c>
      <c r="C273" s="21">
        <v>1425</v>
      </c>
      <c r="D273" s="7" t="str">
        <f>IF(AND(OR([1]Data!B$3="h",[1]Data!B$3="ph",[1]Data!B$3="mh",[1]Data!$B$3="hm"),[1]Data!B$10="P",[1]Data!B$4=14),CONCATENATE(B273," ",A273),"")</f>
        <v/>
      </c>
      <c r="E273" s="7" t="str">
        <f t="shared" si="3"/>
        <v/>
      </c>
    </row>
    <row r="274" spans="1:5" x14ac:dyDescent="0.25">
      <c r="A274" s="17" t="s">
        <v>1019</v>
      </c>
      <c r="B274" s="17" t="s">
        <v>1016</v>
      </c>
      <c r="C274" s="21">
        <v>62</v>
      </c>
      <c r="D274" s="7" t="str">
        <f>IF(AND(OR([1]Data!B$3="h",[1]Data!B$3="ph",[1]Data!B$3="mh",[1]Data!$B$3="hm"),[1]Data!B$10="P",[1]Data!B$4=1.5),CONCATENATE(B274," ",A274),"")</f>
        <v/>
      </c>
      <c r="E274" s="7" t="str">
        <f t="shared" si="3"/>
        <v/>
      </c>
    </row>
    <row r="275" spans="1:5" x14ac:dyDescent="0.25">
      <c r="A275" s="17" t="s">
        <v>1020</v>
      </c>
      <c r="B275" s="17" t="s">
        <v>1016</v>
      </c>
      <c r="C275" s="21">
        <v>1750</v>
      </c>
      <c r="D275" s="7" t="str">
        <f>IF(AND(OR([1]Data!B$3="h",[1]Data!B$3="ph",[1]Data!B$3="mh",[1]Data!$B$3="hm"),[1]Data!B$10="P",[1]Data!B$4=16),CONCATENATE(B275," ",A275),"")</f>
        <v/>
      </c>
      <c r="E275" s="7" t="str">
        <f t="shared" si="3"/>
        <v/>
      </c>
    </row>
    <row r="276" spans="1:5" x14ac:dyDescent="0.25">
      <c r="A276" s="17" t="s">
        <v>1021</v>
      </c>
      <c r="B276" s="17" t="s">
        <v>1016</v>
      </c>
      <c r="C276" s="21">
        <v>2000</v>
      </c>
      <c r="D276" s="7" t="str">
        <f>IF(AND(OR([1]Data!B$3="h",[1]Data!B$3="ph",[1]Data!B$3="mh",[1]Data!$B$3="hm"),[1]Data!B$10="P",[1]Data!B$4=18),CONCATENATE(B276," ",A276),"")</f>
        <v/>
      </c>
      <c r="E276" s="7" t="str">
        <f t="shared" si="3"/>
        <v/>
      </c>
    </row>
    <row r="277" spans="1:5" x14ac:dyDescent="0.25">
      <c r="A277" s="17" t="s">
        <v>1022</v>
      </c>
      <c r="B277" s="17" t="s">
        <v>1016</v>
      </c>
      <c r="C277" s="21">
        <v>75</v>
      </c>
      <c r="D277" s="7" t="str">
        <f>IF(AND(OR([1]Data!B$3="h",[1]Data!B$3="ph",[1]Data!B$3="mh",[1]Data!$B$3="hm"),[1]Data!B$10="P",[1]Data!B$4=2),CONCATENATE(B277," ",A277),"")</f>
        <v/>
      </c>
      <c r="E277" s="7" t="str">
        <f t="shared" si="3"/>
        <v/>
      </c>
    </row>
    <row r="278" spans="1:5" x14ac:dyDescent="0.25">
      <c r="A278" s="17" t="s">
        <v>1023</v>
      </c>
      <c r="B278" s="17" t="s">
        <v>1016</v>
      </c>
      <c r="C278" s="21">
        <v>2750</v>
      </c>
      <c r="D278" s="7" t="str">
        <f>IF(AND(OR([1]Data!B$3="h",[1]Data!B$3="ph",[1]Data!B$3="mh",[1]Data!$B$3="hm"),[1]Data!B$10="P",[1]Data!B$4=20),CONCATENATE(B278," ",A278),"")</f>
        <v/>
      </c>
      <c r="E278" s="7" t="str">
        <f t="shared" si="3"/>
        <v/>
      </c>
    </row>
    <row r="279" spans="1:5" x14ac:dyDescent="0.25">
      <c r="A279" s="17" t="s">
        <v>1024</v>
      </c>
      <c r="B279" s="17" t="s">
        <v>1016</v>
      </c>
      <c r="C279" s="21">
        <v>88</v>
      </c>
      <c r="D279" s="7" t="str">
        <f>IF(AND(OR([1]Data!B$3="h",[1]Data!B$3="ph",[1]Data!B$3="mh",[1]Data!$B$3="hm"),[1]Data!B$10="P",[1]Data!B$4=2.5),CONCATENATE(B279," ",A279),"")</f>
        <v/>
      </c>
      <c r="E279" s="7" t="str">
        <f t="shared" si="3"/>
        <v/>
      </c>
    </row>
    <row r="280" spans="1:5" x14ac:dyDescent="0.25">
      <c r="A280" s="17" t="s">
        <v>1025</v>
      </c>
      <c r="B280" s="17" t="s">
        <v>1016</v>
      </c>
      <c r="C280" s="21">
        <v>120</v>
      </c>
      <c r="D280" s="7" t="str">
        <f>IF(AND(OR([1]Data!B$3="h",[1]Data!B$3="ph",[1]Data!B$3="mh",[1]Data!$B$3="hm"),[1]Data!B$10="P",[1]Data!B$4=3.25),CONCATENATE(B280," ",A280),"")</f>
        <v/>
      </c>
      <c r="E280" s="7" t="str">
        <f t="shared" si="3"/>
        <v/>
      </c>
    </row>
    <row r="281" spans="1:5" x14ac:dyDescent="0.25">
      <c r="A281" s="17" t="s">
        <v>1026</v>
      </c>
      <c r="B281" s="17" t="s">
        <v>1016</v>
      </c>
      <c r="C281" s="21">
        <v>144</v>
      </c>
      <c r="D281" s="7" t="str">
        <f>IF(AND(OR([1]Data!B$3="h",[1]Data!B$3="ph",[1]Data!B$3="mh",[1]Data!$B$3="hm"),[1]Data!B$10="P",[1]Data!B$4=4),CONCATENATE(B281," ",A281),"")</f>
        <v/>
      </c>
      <c r="E281" s="7" t="str">
        <f t="shared" si="3"/>
        <v/>
      </c>
    </row>
    <row r="282" spans="1:5" x14ac:dyDescent="0.25">
      <c r="A282" s="17" t="s">
        <v>1027</v>
      </c>
      <c r="B282" s="17" t="s">
        <v>1016</v>
      </c>
      <c r="C282" s="21">
        <v>233</v>
      </c>
      <c r="D282" s="7" t="str">
        <f>IF(AND(OR([1]Data!B$3="h",[1]Data!B$3="ph",[1]Data!B$3="mh",[1]Data!$B$3="hm"),[1]Data!B$10="P",[1]Data!B$4=5),CONCATENATE(B282," ",A282),"")</f>
        <v/>
      </c>
      <c r="E282" s="7" t="str">
        <f t="shared" si="3"/>
        <v/>
      </c>
    </row>
    <row r="283" spans="1:5" x14ac:dyDescent="0.25">
      <c r="A283" s="17" t="s">
        <v>1028</v>
      </c>
      <c r="B283" s="17" t="s">
        <v>1016</v>
      </c>
      <c r="C283" s="21">
        <v>358</v>
      </c>
      <c r="D283" s="7" t="str">
        <f>IF(AND(OR([1]Data!B$3="h",[1]Data!B$3="ph",[1]Data!B$3="mh",[1]Data!$B$3="hm"),[1]Data!B$10="P",[1]Data!B$4=6),CONCATENATE(B283," ",A283),"")</f>
        <v/>
      </c>
      <c r="E283" s="7" t="str">
        <f t="shared" si="3"/>
        <v/>
      </c>
    </row>
    <row r="284" spans="1:5" x14ac:dyDescent="0.25">
      <c r="A284" s="17" t="s">
        <v>1029</v>
      </c>
      <c r="B284" s="17" t="s">
        <v>1016</v>
      </c>
      <c r="C284" s="21">
        <v>484</v>
      </c>
      <c r="D284" s="7" t="str">
        <f>IF(AND(OR([1]Data!B$3="h",[1]Data!B$3="ph",[1]Data!B$3="mh",[1]Data!$B$3="hm"),[1]Data!B$10="P",[1]Data!B$4=7),CONCATENATE(B284," ",A284),"")</f>
        <v/>
      </c>
      <c r="E284" s="7" t="str">
        <f t="shared" si="3"/>
        <v/>
      </c>
    </row>
    <row r="285" spans="1:5" x14ac:dyDescent="0.25">
      <c r="A285" s="17" t="s">
        <v>1030</v>
      </c>
      <c r="B285" s="17" t="s">
        <v>1016</v>
      </c>
      <c r="C285" s="21">
        <v>554</v>
      </c>
      <c r="D285" s="7" t="str">
        <f>IF(AND(OR([1]Data!B$3="h",[1]Data!B$3="ph",[1]Data!B$3="mh",[1]Data!$B$3="hm"),[1]Data!B$10="P",[1]Data!B$4=8),CONCATENATE(B285," ",A285),"")</f>
        <v/>
      </c>
      <c r="E285" s="7" t="str">
        <f t="shared" si="3"/>
        <v/>
      </c>
    </row>
    <row r="286" spans="1:5" x14ac:dyDescent="0.25">
      <c r="A286" s="17" t="s">
        <v>1031</v>
      </c>
      <c r="B286" s="18" t="s">
        <v>1032</v>
      </c>
      <c r="C286" s="21">
        <v>1070</v>
      </c>
      <c r="D286" s="7" t="str">
        <f>IF(AND(OR([1]Data!B$3="h",[1]Data!B$3="ph",[1]Data!B$3="mh",[1]Data!$B$3="hm"),[1]Data!B$10="C",[1]Data!B$4=10),CONCATENATE(B286," ",A286),"")</f>
        <v/>
      </c>
      <c r="E286" s="7" t="str">
        <f t="shared" si="3"/>
        <v/>
      </c>
    </row>
    <row r="287" spans="1:5" x14ac:dyDescent="0.25">
      <c r="A287" s="17" t="s">
        <v>1033</v>
      </c>
      <c r="B287" s="18" t="s">
        <v>1032</v>
      </c>
      <c r="C287" s="21">
        <v>1394</v>
      </c>
      <c r="D287" s="7" t="str">
        <f>IF(AND(OR([1]Data!B$3="h",[1]Data!B$3="ph",[1]Data!B$3="mh",[1]Data!$B$3="hm"),[1]Data!B$10="C",[1]Data!B$4=12),CONCATENATE(B287," ",A287),"")</f>
        <v/>
      </c>
      <c r="E287" s="7" t="str">
        <f t="shared" si="3"/>
        <v/>
      </c>
    </row>
    <row r="288" spans="1:5" x14ac:dyDescent="0.25">
      <c r="A288" s="17" t="s">
        <v>1034</v>
      </c>
      <c r="B288" s="18" t="s">
        <v>1032</v>
      </c>
      <c r="C288" s="21">
        <v>1710</v>
      </c>
      <c r="D288" s="7" t="str">
        <f>IF(AND(OR([1]Data!B$3="h",[1]Data!B$3="ph",[1]Data!B$3="mh",[1]Data!$B$3="hm"),[1]Data!B$10="C",[1]Data!B$4=14),CONCATENATE(B288," ",A288),"")</f>
        <v/>
      </c>
      <c r="E288" s="7" t="str">
        <f t="shared" si="3"/>
        <v/>
      </c>
    </row>
    <row r="289" spans="1:5" x14ac:dyDescent="0.25">
      <c r="A289" s="17" t="s">
        <v>1035</v>
      </c>
      <c r="B289" s="17" t="s">
        <v>1032</v>
      </c>
      <c r="C289" s="21">
        <v>74</v>
      </c>
      <c r="D289" s="7" t="str">
        <f>IF(AND(OR([1]Data!B$3="h",[1]Data!B$3="ph",[1]Data!B$3="mh",[1]Data!$B$3="hm"),[1]Data!B$10="C",[1]Data!B$4=1.5),CONCATENATE(B289," ",A289),"")</f>
        <v/>
      </c>
      <c r="E289" s="7" t="str">
        <f t="shared" si="3"/>
        <v/>
      </c>
    </row>
    <row r="290" spans="1:5" x14ac:dyDescent="0.25">
      <c r="A290" s="17" t="s">
        <v>1036</v>
      </c>
      <c r="B290" s="18" t="s">
        <v>1032</v>
      </c>
      <c r="C290" s="21">
        <v>2100</v>
      </c>
      <c r="D290" s="7" t="str">
        <f>IF(AND(OR([1]Data!B$3="h",[1]Data!B$3="ph",[1]Data!B$3="mh",[1]Data!$B$3="hm"),[1]Data!B$10="C",[1]Data!B$4=16),CONCATENATE(B290," ",A290),"")</f>
        <v/>
      </c>
      <c r="E290" s="7" t="str">
        <f t="shared" si="3"/>
        <v/>
      </c>
    </row>
    <row r="291" spans="1:5" x14ac:dyDescent="0.25">
      <c r="A291" s="17" t="s">
        <v>1037</v>
      </c>
      <c r="B291" s="18" t="s">
        <v>1032</v>
      </c>
      <c r="C291" s="21">
        <v>2400</v>
      </c>
      <c r="D291" s="7" t="str">
        <f>IF(AND(OR([1]Data!B$3="h",[1]Data!B$3="ph",[1]Data!B$3="mh",[1]Data!$B$3="hm"),[1]Data!B$10="C",[1]Data!B$4=18),CONCATENATE(B291," ",A291),"")</f>
        <v/>
      </c>
      <c r="E291" s="7" t="str">
        <f t="shared" si="3"/>
        <v/>
      </c>
    </row>
    <row r="292" spans="1:5" x14ac:dyDescent="0.25">
      <c r="A292" s="17" t="s">
        <v>1038</v>
      </c>
      <c r="B292" s="17" t="s">
        <v>1032</v>
      </c>
      <c r="C292" s="21">
        <v>90</v>
      </c>
      <c r="D292" s="7" t="str">
        <f>IF(AND(OR([1]Data!B$3="h",[1]Data!B$3="ph",[1]Data!B$3="mh",[1]Data!$B$3="hm"),[1]Data!B$10="C",[1]Data!B$4=2),CONCATENATE(B292," ",A292),"")</f>
        <v/>
      </c>
      <c r="E292" s="7" t="str">
        <f t="shared" si="3"/>
        <v/>
      </c>
    </row>
    <row r="293" spans="1:5" x14ac:dyDescent="0.25">
      <c r="A293" s="17" t="s">
        <v>1039</v>
      </c>
      <c r="B293" s="18" t="s">
        <v>1032</v>
      </c>
      <c r="C293" s="21">
        <v>3300</v>
      </c>
      <c r="D293" s="7" t="str">
        <f>IF(AND(OR([1]Data!B$3="h",[1]Data!B$3="ph",[1]Data!B$3="mh",[1]Data!$B$3="hm"),[1]Data!B$10="C",[1]Data!B$4=20),CONCATENATE(B293," ",A293),"")</f>
        <v/>
      </c>
      <c r="E293" s="7" t="str">
        <f t="shared" si="3"/>
        <v/>
      </c>
    </row>
    <row r="294" spans="1:5" x14ac:dyDescent="0.25">
      <c r="A294" s="17" t="s">
        <v>1040</v>
      </c>
      <c r="B294" s="17" t="s">
        <v>1032</v>
      </c>
      <c r="C294" s="21">
        <v>105</v>
      </c>
      <c r="D294" s="7" t="str">
        <f>IF(AND(OR([1]Data!B$3="h",[1]Data!B$3="ph",[1]Data!B$3="mh",[1]Data!$B$3="hm"),[1]Data!B$10="C",[1]Data!B$4=2.5),CONCATENATE(B294," ",A294),"")</f>
        <v/>
      </c>
      <c r="E294" s="7" t="str">
        <f t="shared" si="3"/>
        <v/>
      </c>
    </row>
    <row r="295" spans="1:5" x14ac:dyDescent="0.25">
      <c r="A295" s="17" t="s">
        <v>1041</v>
      </c>
      <c r="B295" s="17" t="s">
        <v>1032</v>
      </c>
      <c r="C295" s="21">
        <v>144</v>
      </c>
      <c r="D295" s="7" t="str">
        <f>IF(AND(OR([1]Data!B$3="h",[1]Data!B$3="ph",[1]Data!B$3="mh",[1]Data!$B$3="hm"),[1]Data!B$10="C",[1]Data!B$4=3.25),CONCATENATE(B295," ",A295),"")</f>
        <v/>
      </c>
      <c r="E295" s="7" t="str">
        <f t="shared" si="3"/>
        <v/>
      </c>
    </row>
    <row r="296" spans="1:5" x14ac:dyDescent="0.25">
      <c r="A296" s="17" t="s">
        <v>1042</v>
      </c>
      <c r="B296" s="17" t="s">
        <v>1032</v>
      </c>
      <c r="C296" s="21">
        <v>173</v>
      </c>
      <c r="D296" s="7" t="str">
        <f>IF(AND(OR([1]Data!B$3="h",[1]Data!B$3="ph",[1]Data!B$3="mh",[1]Data!$B$3="hm"),[1]Data!B$10="C",[1]Data!B$4=4),CONCATENATE(B296," ",A296),"")</f>
        <v/>
      </c>
      <c r="E296" s="7" t="str">
        <f t="shared" si="3"/>
        <v/>
      </c>
    </row>
    <row r="297" spans="1:5" x14ac:dyDescent="0.25">
      <c r="A297" s="17" t="s">
        <v>1043</v>
      </c>
      <c r="B297" s="17" t="s">
        <v>1032</v>
      </c>
      <c r="C297" s="21">
        <v>279</v>
      </c>
      <c r="D297" s="7" t="str">
        <f>IF(AND(OR([1]Data!B$3="h",[1]Data!B$3="ph",[1]Data!B$3="mh",[1]Data!$B$3="hm"),[1]Data!B$10="C",[1]Data!B$4=5),CONCATENATE(B297," ",A297),"")</f>
        <v/>
      </c>
      <c r="E297" s="7" t="str">
        <f t="shared" si="3"/>
        <v/>
      </c>
    </row>
    <row r="298" spans="1:5" x14ac:dyDescent="0.25">
      <c r="A298" s="17" t="s">
        <v>1044</v>
      </c>
      <c r="B298" s="17" t="s">
        <v>1032</v>
      </c>
      <c r="C298" s="21">
        <v>429</v>
      </c>
      <c r="D298" s="7" t="str">
        <f>IF(AND(OR([1]Data!B$3="h",[1]Data!B$3="ph",[1]Data!B$3="mh",[1]Data!$B$3="hm"),[1]Data!B$10="C",[1]Data!B$4=6),CONCATENATE(B298," ",A298),"")</f>
        <v/>
      </c>
      <c r="E298" s="7" t="str">
        <f t="shared" si="3"/>
        <v/>
      </c>
    </row>
    <row r="299" spans="1:5" x14ac:dyDescent="0.25">
      <c r="A299" s="17" t="s">
        <v>1045</v>
      </c>
      <c r="B299" s="17" t="s">
        <v>1032</v>
      </c>
      <c r="C299" s="21">
        <v>581</v>
      </c>
      <c r="D299" s="7" t="str">
        <f>IF(AND(OR([1]Data!B$3="h",[1]Data!B$3="ph",[1]Data!B$3="mh",[1]Data!$B$3="hm"),[1]Data!B$10="C",[1]Data!B$4=7),CONCATENATE(B299," ",A299),"")</f>
        <v/>
      </c>
      <c r="E299" s="7" t="str">
        <f t="shared" si="3"/>
        <v/>
      </c>
    </row>
    <row r="300" spans="1:5" x14ac:dyDescent="0.25">
      <c r="A300" s="17" t="s">
        <v>1046</v>
      </c>
      <c r="B300" s="18" t="s">
        <v>1032</v>
      </c>
      <c r="C300" s="21">
        <v>665</v>
      </c>
      <c r="D300" s="7" t="str">
        <f>IF(AND(OR([1]Data!B$3="h",[1]Data!B$3="ph",[1]Data!B$3="mh",[1]Data!$B$3="hm"),[1]Data!B$10="C",[1]Data!B$4=8),CONCATENATE(B300," ",A300),"")</f>
        <v/>
      </c>
      <c r="E300" s="7" t="str">
        <f t="shared" si="3"/>
        <v/>
      </c>
    </row>
    <row r="301" spans="1:5" x14ac:dyDescent="0.25">
      <c r="A301" s="17" t="s">
        <v>1047</v>
      </c>
      <c r="B301" s="17" t="s">
        <v>1048</v>
      </c>
      <c r="C301" s="21">
        <v>1177</v>
      </c>
      <c r="D301" s="7" t="str">
        <f>IF(AND(OR([1]Data!B$3="h",[1]Data!B$3="ph",[1]Data!B$3="mh",[1]Data!$B$3="hm"),[1]Data!B$10="H",[1]Data!B$4=10),CONCATENATE(B301," ",A301),"")</f>
        <v/>
      </c>
      <c r="E301" s="7" t="str">
        <f t="shared" si="3"/>
        <v/>
      </c>
    </row>
    <row r="302" spans="1:5" x14ac:dyDescent="0.25">
      <c r="A302" s="17" t="s">
        <v>1049</v>
      </c>
      <c r="B302" s="17" t="s">
        <v>1048</v>
      </c>
      <c r="C302" s="21">
        <v>1533</v>
      </c>
      <c r="D302" s="7" t="str">
        <f>IF(AND(OR([1]Data!B$3="h",[1]Data!B$3="ph",[1]Data!B$3="mh",[1]Data!$B$3="hm"),[1]Data!B$10="H",[1]Data!B$4=12),CONCATENATE(B302," ",A302),"")</f>
        <v/>
      </c>
      <c r="E302" s="7" t="str">
        <f t="shared" ref="E302:E365" si="4">IF(D302="","",C302)</f>
        <v/>
      </c>
    </row>
    <row r="303" spans="1:5" x14ac:dyDescent="0.25">
      <c r="A303" s="17" t="s">
        <v>1050</v>
      </c>
      <c r="B303" s="17" t="s">
        <v>1048</v>
      </c>
      <c r="C303" s="21">
        <v>1881</v>
      </c>
      <c r="D303" s="7" t="str">
        <f>IF(AND(OR([1]Data!B$3="h",[1]Data!B$3="ph",[1]Data!B$3="mh",[1]Data!$B$3="hm"),[1]Data!B$10="H",[1]Data!B$4=14),CONCATENATE(B303," ",A303),"")</f>
        <v/>
      </c>
      <c r="E303" s="7" t="str">
        <f t="shared" si="4"/>
        <v/>
      </c>
    </row>
    <row r="304" spans="1:5" x14ac:dyDescent="0.25">
      <c r="A304" s="17" t="s">
        <v>1051</v>
      </c>
      <c r="B304" s="17" t="s">
        <v>1048</v>
      </c>
      <c r="C304" s="21">
        <v>81</v>
      </c>
      <c r="D304" s="7" t="str">
        <f>IF(AND(OR([1]Data!B$3="h",[1]Data!B$3="ph",[1]Data!B$3="mh",[1]Data!$B$3="hm"),[1]Data!B$10="H",[1]Data!B$4=1.5),CONCATENATE(B304," ",A304),"")</f>
        <v/>
      </c>
      <c r="E304" s="7" t="str">
        <f t="shared" si="4"/>
        <v/>
      </c>
    </row>
    <row r="305" spans="1:5" x14ac:dyDescent="0.25">
      <c r="A305" s="17" t="s">
        <v>1052</v>
      </c>
      <c r="B305" s="17" t="s">
        <v>1048</v>
      </c>
      <c r="C305" s="21">
        <v>2310</v>
      </c>
      <c r="D305" s="7" t="str">
        <f>IF(AND(OR([1]Data!B$3="h",[1]Data!B$3="ph",[1]Data!B$3="mh",[1]Data!$B$3="hm"),[1]Data!B$10="H",[1]Data!B$4=16),CONCATENATE(B305," ",A305),"")</f>
        <v/>
      </c>
      <c r="E305" s="7" t="str">
        <f t="shared" si="4"/>
        <v/>
      </c>
    </row>
    <row r="306" spans="1:5" x14ac:dyDescent="0.25">
      <c r="A306" s="17" t="s">
        <v>1053</v>
      </c>
      <c r="B306" s="17" t="s">
        <v>1048</v>
      </c>
      <c r="C306" s="21">
        <v>2640</v>
      </c>
      <c r="D306" s="7" t="str">
        <f>IF(AND(OR([1]Data!B$3="h",[1]Data!B$3="ph",[1]Data!B$3="mh",[1]Data!$B$3="hm"),[1]Data!B$10="H",[1]Data!B$4=18),CONCATENATE(B306," ",A306),"")</f>
        <v/>
      </c>
      <c r="E306" s="7" t="str">
        <f t="shared" si="4"/>
        <v/>
      </c>
    </row>
    <row r="307" spans="1:5" x14ac:dyDescent="0.25">
      <c r="A307" s="17" t="s">
        <v>1054</v>
      </c>
      <c r="B307" s="17" t="s">
        <v>1048</v>
      </c>
      <c r="C307" s="21">
        <v>99</v>
      </c>
      <c r="D307" s="7" t="str">
        <f>IF(AND(OR([1]Data!B$3="h",[1]Data!B$3="ph",[1]Data!B$3="mh",[1]Data!$B$3="hm"),[1]Data!B$10="H",[1]Data!B$4=2),CONCATENATE(B307," ",A307),"")</f>
        <v/>
      </c>
      <c r="E307" s="7" t="str">
        <f t="shared" si="4"/>
        <v/>
      </c>
    </row>
    <row r="308" spans="1:5" x14ac:dyDescent="0.25">
      <c r="A308" s="17" t="s">
        <v>1055</v>
      </c>
      <c r="B308" s="17" t="s">
        <v>1048</v>
      </c>
      <c r="C308" s="21">
        <v>3630</v>
      </c>
      <c r="D308" s="7" t="str">
        <f>IF(AND(OR([1]Data!B$3="h",[1]Data!B$3="ph",[1]Data!B$3="mh",[1]Data!$B$3="hm"),[1]Data!B$10="H",[1]Data!B$4=20),CONCATENATE(B308," ",A308),"")</f>
        <v/>
      </c>
      <c r="E308" s="7" t="str">
        <f t="shared" si="4"/>
        <v/>
      </c>
    </row>
    <row r="309" spans="1:5" x14ac:dyDescent="0.25">
      <c r="A309" s="17" t="s">
        <v>1056</v>
      </c>
      <c r="B309" s="17" t="s">
        <v>1048</v>
      </c>
      <c r="C309" s="21">
        <v>116</v>
      </c>
      <c r="D309" s="7" t="str">
        <f>IF(AND(OR([1]Data!B$3="h",[1]Data!B$3="ph",[1]Data!B$3="mh",[1]Data!$B$3="hm"),[1]Data!B$10="H",[1]Data!B$4=2.5),CONCATENATE(B309," ",A309),"")</f>
        <v/>
      </c>
      <c r="E309" s="7" t="str">
        <f t="shared" si="4"/>
        <v/>
      </c>
    </row>
    <row r="310" spans="1:5" x14ac:dyDescent="0.25">
      <c r="A310" s="17" t="s">
        <v>1057</v>
      </c>
      <c r="B310" s="17" t="s">
        <v>1048</v>
      </c>
      <c r="C310" s="21">
        <v>159</v>
      </c>
      <c r="D310" s="7" t="str">
        <f>IF(AND(OR([1]Data!B$3="h",[1]Data!B$3="ph",[1]Data!B$3="mh",[1]Data!$B$3="hm"),[1]Data!B$10="H",[1]Data!B$4=3.25),CONCATENATE(B310," ",A310),"")</f>
        <v/>
      </c>
      <c r="E310" s="7" t="str">
        <f t="shared" si="4"/>
        <v/>
      </c>
    </row>
    <row r="311" spans="1:5" x14ac:dyDescent="0.25">
      <c r="A311" s="17" t="s">
        <v>1058</v>
      </c>
      <c r="B311" s="17" t="s">
        <v>1048</v>
      </c>
      <c r="C311" s="21">
        <v>190</v>
      </c>
      <c r="D311" s="7" t="str">
        <f>IF(AND(OR([1]Data!B$3="h",[1]Data!B$3="ph",[1]Data!B$3="mh",[1]Data!$B$3="hm"),[1]Data!B$10="H",[1]Data!B$4=4),CONCATENATE(B311," ",A311),"")</f>
        <v/>
      </c>
      <c r="E311" s="7" t="str">
        <f t="shared" si="4"/>
        <v/>
      </c>
    </row>
    <row r="312" spans="1:5" x14ac:dyDescent="0.25">
      <c r="A312" s="17" t="s">
        <v>1059</v>
      </c>
      <c r="B312" s="17" t="s">
        <v>1048</v>
      </c>
      <c r="C312" s="21">
        <v>307</v>
      </c>
      <c r="D312" s="7" t="str">
        <f>IF(AND(OR([1]Data!B$3="h",[1]Data!B$3="ph",[1]Data!B$3="mh",[1]Data!$B$3="hm"),[1]Data!B$10="H",[1]Data!B$4=5),CONCATENATE(B312," ",A312),"")</f>
        <v/>
      </c>
      <c r="E312" s="7" t="str">
        <f t="shared" si="4"/>
        <v/>
      </c>
    </row>
    <row r="313" spans="1:5" x14ac:dyDescent="0.25">
      <c r="A313" s="17" t="s">
        <v>1060</v>
      </c>
      <c r="B313" s="17" t="s">
        <v>1048</v>
      </c>
      <c r="C313" s="21">
        <v>472</v>
      </c>
      <c r="D313" s="7" t="str">
        <f>IF(AND(OR([1]Data!B$3="h",[1]Data!B$3="ph",[1]Data!B$3="mh",[1]Data!$B$3="hm"),[1]Data!B$10="H",[1]Data!B$4=6),CONCATENATE(B313," ",A313),"")</f>
        <v/>
      </c>
      <c r="E313" s="7" t="str">
        <f t="shared" si="4"/>
        <v/>
      </c>
    </row>
    <row r="314" spans="1:5" x14ac:dyDescent="0.25">
      <c r="A314" s="17" t="s">
        <v>1061</v>
      </c>
      <c r="B314" s="17" t="s">
        <v>1048</v>
      </c>
      <c r="C314" s="21">
        <v>639</v>
      </c>
      <c r="D314" s="7" t="str">
        <f>IF(AND(OR([1]Data!B$3="h",[1]Data!B$3="ph",[1]Data!B$3="mh",[1]Data!$B$3="hm"),[1]Data!B$10="H",[1]Data!B$4=7),CONCATENATE(B314," ",A314),"")</f>
        <v/>
      </c>
      <c r="E314" s="7" t="str">
        <f t="shared" si="4"/>
        <v/>
      </c>
    </row>
    <row r="315" spans="1:5" x14ac:dyDescent="0.25">
      <c r="A315" s="17" t="s">
        <v>1062</v>
      </c>
      <c r="B315" s="17" t="s">
        <v>1048</v>
      </c>
      <c r="C315" s="21">
        <v>731</v>
      </c>
      <c r="D315" s="7" t="str">
        <f>IF(AND(OR([1]Data!B$3="h",[1]Data!B$3="ph",[1]Data!B$3="mh",[1]Data!$B$3="hm"),[1]Data!B$10="H",[1]Data!B$4=8),CONCATENATE(B315," ",A315),"")</f>
        <v/>
      </c>
      <c r="E315" s="7" t="str">
        <f t="shared" si="4"/>
        <v/>
      </c>
    </row>
    <row r="316" spans="1:5" x14ac:dyDescent="0.25">
      <c r="A316" s="17" t="s">
        <v>1063</v>
      </c>
      <c r="B316" s="18" t="s">
        <v>1064</v>
      </c>
      <c r="C316" s="21">
        <v>892</v>
      </c>
      <c r="D316" s="7" t="str">
        <f>IF(AND(OR([1]Data!B$3="h",[1]Data!B$3="ph",[1]Data!B$3="mh",[1]Data!$B$3="hm"),[1]Data!B$10="L",[1]Data!B$4=10),CONCATENATE(B316," ",A316),"")</f>
        <v/>
      </c>
      <c r="E316" s="7" t="str">
        <f t="shared" si="4"/>
        <v/>
      </c>
    </row>
    <row r="317" spans="1:5" x14ac:dyDescent="0.25">
      <c r="A317" s="17" t="s">
        <v>1065</v>
      </c>
      <c r="B317" s="18" t="s">
        <v>1064</v>
      </c>
      <c r="C317" s="21">
        <v>1162</v>
      </c>
      <c r="D317" s="7" t="str">
        <f>IF(AND(OR([1]Data!B$3="h",[1]Data!B$3="ph",[1]Data!B$3="mh",[1]Data!$B$3="hm"),[1]Data!B$10="L",[1]Data!B$4=12),CONCATENATE(B317," ",A317),"")</f>
        <v/>
      </c>
      <c r="E317" s="7" t="str">
        <f t="shared" si="4"/>
        <v/>
      </c>
    </row>
    <row r="318" spans="1:5" x14ac:dyDescent="0.25">
      <c r="A318" s="17" t="s">
        <v>1066</v>
      </c>
      <c r="B318" s="18" t="s">
        <v>1064</v>
      </c>
      <c r="C318" s="21">
        <v>1425</v>
      </c>
      <c r="D318" s="7" t="str">
        <f>IF(AND(OR([1]Data!B$3="h",[1]Data!B$3="ph",[1]Data!B$3="mh",[1]Data!$B$3="hm"),[1]Data!B$10="L",[1]Data!B$4=14),CONCATENATE(B318," ",A318),"")</f>
        <v/>
      </c>
      <c r="E318" s="7" t="str">
        <f t="shared" si="4"/>
        <v/>
      </c>
    </row>
    <row r="319" spans="1:5" x14ac:dyDescent="0.25">
      <c r="A319" s="17" t="s">
        <v>1067</v>
      </c>
      <c r="B319" s="17" t="s">
        <v>1064</v>
      </c>
      <c r="C319" s="21">
        <v>62</v>
      </c>
      <c r="D319" s="7" t="str">
        <f>IF(AND(OR([1]Data!B$3="h",[1]Data!B$3="ph",[1]Data!B$3="mh",[1]Data!$B$3="hm"),[1]Data!B$10="L",[1]Data!B$4=1.5),CONCATENATE(B319," ",A319),"")</f>
        <v/>
      </c>
      <c r="E319" s="7" t="str">
        <f t="shared" si="4"/>
        <v/>
      </c>
    </row>
    <row r="320" spans="1:5" x14ac:dyDescent="0.25">
      <c r="A320" s="17" t="s">
        <v>1068</v>
      </c>
      <c r="B320" s="18" t="s">
        <v>1064</v>
      </c>
      <c r="C320" s="21">
        <v>1750</v>
      </c>
      <c r="D320" s="7" t="str">
        <f>IF(AND(OR([1]Data!B$3="h",[1]Data!B$3="ph",[1]Data!B$3="mh",[1]Data!$B$3="hm"),[1]Data!B$10="L",[1]Data!B$4=16),CONCATENATE(B320," ",A320),"")</f>
        <v/>
      </c>
      <c r="E320" s="7" t="str">
        <f t="shared" si="4"/>
        <v/>
      </c>
    </row>
    <row r="321" spans="1:5" x14ac:dyDescent="0.25">
      <c r="A321" s="17" t="s">
        <v>1070</v>
      </c>
      <c r="B321" s="18" t="s">
        <v>1064</v>
      </c>
      <c r="C321" s="21">
        <v>2000</v>
      </c>
      <c r="D321" s="7" t="str">
        <f>IF(AND(OR([1]Data!B$3="h",[1]Data!B$3="ph",[1]Data!B$3="mh",[1]Data!$B$3="hm"),[1]Data!B$10="L",[1]Data!B$4=18),CONCATENATE(B321," ",A321),"")</f>
        <v/>
      </c>
      <c r="E321" s="7" t="str">
        <f t="shared" si="4"/>
        <v/>
      </c>
    </row>
    <row r="322" spans="1:5" x14ac:dyDescent="0.25">
      <c r="A322" s="17" t="s">
        <v>1071</v>
      </c>
      <c r="B322" s="17" t="s">
        <v>1064</v>
      </c>
      <c r="C322" s="21">
        <v>75</v>
      </c>
      <c r="D322" s="7" t="str">
        <f>IF(AND(OR([1]Data!B$3="h",[1]Data!B$3="ph",[1]Data!B$3="mh",[1]Data!$B$3="hm"),[1]Data!B$10="L",[1]Data!B$4=2),CONCATENATE(B322," ",A322),"")</f>
        <v/>
      </c>
      <c r="E322" s="7" t="str">
        <f t="shared" si="4"/>
        <v/>
      </c>
    </row>
    <row r="323" spans="1:5" x14ac:dyDescent="0.25">
      <c r="A323" s="17" t="s">
        <v>1072</v>
      </c>
      <c r="B323" s="18" t="s">
        <v>1064</v>
      </c>
      <c r="C323" s="21">
        <v>2750</v>
      </c>
      <c r="D323" s="7" t="str">
        <f>IF(AND(OR([1]Data!B$3="h",[1]Data!B$3="ph",[1]Data!B$3="mh",[1]Data!$B$3="hm"),[1]Data!B$10="L",[1]Data!B$4=20),CONCATENATE(B323," ",A323),"")</f>
        <v/>
      </c>
      <c r="E323" s="7" t="str">
        <f t="shared" si="4"/>
        <v/>
      </c>
    </row>
    <row r="324" spans="1:5" x14ac:dyDescent="0.25">
      <c r="A324" s="17" t="s">
        <v>1073</v>
      </c>
      <c r="B324" s="17" t="s">
        <v>1064</v>
      </c>
      <c r="C324" s="21">
        <v>88</v>
      </c>
      <c r="D324" s="7" t="str">
        <f>IF(AND(OR([1]Data!B$3="h",[1]Data!B$3="ph",[1]Data!B$3="mh",[1]Data!$B$3="hm"),[1]Data!B$10="L",[1]Data!B$4=2.5),CONCATENATE(B324," ",A324),"")</f>
        <v/>
      </c>
      <c r="E324" s="7" t="str">
        <f t="shared" si="4"/>
        <v/>
      </c>
    </row>
    <row r="325" spans="1:5" x14ac:dyDescent="0.25">
      <c r="A325" s="17" t="s">
        <v>1074</v>
      </c>
      <c r="B325" s="17" t="s">
        <v>1064</v>
      </c>
      <c r="C325" s="21">
        <v>120</v>
      </c>
      <c r="D325" s="7" t="str">
        <f>IF(AND(OR([1]Data!B$3="h",[1]Data!B$3="ph",[1]Data!B$3="mh",[1]Data!$B$3="hm"),[1]Data!B$10="L",[1]Data!B$4=3.25),CONCATENATE(B325," ",A325),"")</f>
        <v/>
      </c>
      <c r="E325" s="7" t="str">
        <f t="shared" si="4"/>
        <v/>
      </c>
    </row>
    <row r="326" spans="1:5" x14ac:dyDescent="0.25">
      <c r="A326" s="17" t="s">
        <v>1075</v>
      </c>
      <c r="B326" s="17" t="s">
        <v>1064</v>
      </c>
      <c r="C326" s="21">
        <v>144</v>
      </c>
      <c r="D326" s="7" t="str">
        <f>IF(AND(OR([1]Data!B$3="h",[1]Data!B$3="ph",[1]Data!B$3="mh",[1]Data!$B$3="hm"),[1]Data!B$10="L",[1]Data!B$4=4),CONCATENATE(B326," ",A326),"")</f>
        <v/>
      </c>
      <c r="E326" s="7" t="str">
        <f t="shared" si="4"/>
        <v/>
      </c>
    </row>
    <row r="327" spans="1:5" x14ac:dyDescent="0.25">
      <c r="A327" s="17" t="s">
        <v>1076</v>
      </c>
      <c r="B327" s="17" t="s">
        <v>1064</v>
      </c>
      <c r="C327" s="21">
        <v>233</v>
      </c>
      <c r="D327" s="7" t="str">
        <f>IF(AND(OR([1]Data!B$3="h",[1]Data!B$3="ph",[1]Data!B$3="mh",[1]Data!$B$3="hm"),[1]Data!B$10="L",[1]Data!B$4=5),CONCATENATE(B327," ",A327),"")</f>
        <v/>
      </c>
      <c r="E327" s="7" t="str">
        <f t="shared" si="4"/>
        <v/>
      </c>
    </row>
    <row r="328" spans="1:5" x14ac:dyDescent="0.25">
      <c r="A328" s="17" t="s">
        <v>1077</v>
      </c>
      <c r="B328" s="17" t="s">
        <v>1064</v>
      </c>
      <c r="C328" s="21">
        <v>358</v>
      </c>
      <c r="D328" s="7" t="str">
        <f>IF(AND(OR([1]Data!B$3="h",[1]Data!B$3="ph",[1]Data!B$3="mh",[1]Data!$B$3="hm"),[1]Data!B$10="L",[1]Data!B$4=6),CONCATENATE(B328," ",A328),"")</f>
        <v/>
      </c>
      <c r="E328" s="7" t="str">
        <f t="shared" si="4"/>
        <v/>
      </c>
    </row>
    <row r="329" spans="1:5" x14ac:dyDescent="0.25">
      <c r="A329" s="17" t="s">
        <v>1078</v>
      </c>
      <c r="B329" s="17" t="s">
        <v>1064</v>
      </c>
      <c r="C329" s="21">
        <v>484</v>
      </c>
      <c r="D329" s="7" t="str">
        <f>IF(AND(OR([1]Data!B$3="h",[1]Data!B$3="ph",[1]Data!B$3="mh",[1]Data!$B$3="hm"),[1]Data!B$10="L",[1]Data!B$4=7),CONCATENATE(B329," ",A329),"")</f>
        <v/>
      </c>
      <c r="E329" s="7" t="str">
        <f t="shared" si="4"/>
        <v/>
      </c>
    </row>
    <row r="330" spans="1:5" x14ac:dyDescent="0.25">
      <c r="A330" s="17" t="s">
        <v>1079</v>
      </c>
      <c r="B330" s="18" t="s">
        <v>1064</v>
      </c>
      <c r="C330" s="21">
        <v>554</v>
      </c>
      <c r="D330" s="7" t="str">
        <f>IF(AND(OR([1]Data!B$3="h",[1]Data!B$3="ph",[1]Data!B$3="mh",[1]Data!$B$3="hm"),[1]Data!B$10="L",[1]Data!B$4=8),CONCATENATE(B330," ",A330),"")</f>
        <v/>
      </c>
      <c r="E330" s="7" t="str">
        <f t="shared" si="4"/>
        <v/>
      </c>
    </row>
    <row r="331" spans="1:5" x14ac:dyDescent="0.25">
      <c r="A331" s="17" t="s">
        <v>1080</v>
      </c>
      <c r="B331" s="18" t="s">
        <v>1081</v>
      </c>
      <c r="C331" s="21">
        <v>1159</v>
      </c>
      <c r="D331" s="7" t="str">
        <f>IF(AND(OR([1]Data!B$3="h",[1]Data!B$3="ph",[1]Data!B$3="mh",[1]Data!$B$3="hm"),[1]Data!B$10="V",[1]Data!B$4=10),CONCATENATE(B331," ",A331),"")</f>
        <v/>
      </c>
      <c r="E331" s="7" t="str">
        <f t="shared" si="4"/>
        <v/>
      </c>
    </row>
    <row r="332" spans="1:5" x14ac:dyDescent="0.25">
      <c r="A332" s="17" t="s">
        <v>1082</v>
      </c>
      <c r="B332" s="18" t="s">
        <v>1081</v>
      </c>
      <c r="C332" s="21">
        <v>1510</v>
      </c>
      <c r="D332" s="7" t="str">
        <f>IF(AND(OR([1]Data!B$3="h",[1]Data!B$3="ph",[1]Data!B$3="mh",[1]Data!$B$3="hm"),[1]Data!B$10="V",[1]Data!B$4=12),CONCATENATE(B332," ",A332),"")</f>
        <v/>
      </c>
      <c r="E332" s="7" t="str">
        <f t="shared" si="4"/>
        <v/>
      </c>
    </row>
    <row r="333" spans="1:5" x14ac:dyDescent="0.25">
      <c r="A333" s="17" t="s">
        <v>1083</v>
      </c>
      <c r="B333" s="18" t="s">
        <v>1081</v>
      </c>
      <c r="C333" s="21">
        <v>1853</v>
      </c>
      <c r="D333" s="7" t="str">
        <f>IF(AND(OR([1]Data!B$3="h",[1]Data!B$3="ph",[1]Data!B$3="mh",[1]Data!$B$3="hm"),[1]Data!B$10="V",[1]Data!B$4=14),CONCATENATE(B333," ",A333),"")</f>
        <v/>
      </c>
      <c r="E333" s="7" t="str">
        <f t="shared" si="4"/>
        <v/>
      </c>
    </row>
    <row r="334" spans="1:5" x14ac:dyDescent="0.25">
      <c r="A334" s="17" t="s">
        <v>1084</v>
      </c>
      <c r="B334" s="17" t="s">
        <v>1081</v>
      </c>
      <c r="C334" s="21">
        <v>80</v>
      </c>
      <c r="D334" s="7" t="str">
        <f>IF(AND(OR([1]Data!B$3="h",[1]Data!B$3="ph",[1]Data!B$3="mh",[1]Data!$B$3="hm"),[1]Data!B$10="V",[1]Data!B$4=1.5),CONCATENATE(B334," ",A334),"")</f>
        <v/>
      </c>
      <c r="E334" s="7" t="str">
        <f t="shared" si="4"/>
        <v/>
      </c>
    </row>
    <row r="335" spans="1:5" x14ac:dyDescent="0.25">
      <c r="A335" s="17" t="s">
        <v>1085</v>
      </c>
      <c r="B335" s="18" t="s">
        <v>1081</v>
      </c>
      <c r="C335" s="21">
        <v>2275</v>
      </c>
      <c r="D335" s="7" t="str">
        <f>IF(AND(OR([1]Data!B$3="h",[1]Data!B$3="ph",[1]Data!B$3="mh",[1]Data!$B$3="hm"),[1]Data!B$10="V",[1]Data!B$4=16),CONCATENATE(B335," ",A335),"")</f>
        <v/>
      </c>
      <c r="E335" s="7" t="str">
        <f t="shared" si="4"/>
        <v/>
      </c>
    </row>
    <row r="336" spans="1:5" x14ac:dyDescent="0.25">
      <c r="A336" s="17" t="s">
        <v>1086</v>
      </c>
      <c r="B336" s="18" t="s">
        <v>1081</v>
      </c>
      <c r="C336" s="21">
        <v>2600</v>
      </c>
      <c r="D336" s="7" t="str">
        <f>IF(AND(OR([1]Data!B$3="h",[1]Data!B$3="ph",[1]Data!B$3="mh",[1]Data!$B$3="hm"),[1]Data!B$10="V",[1]Data!B$4=18),CONCATENATE(B336," ",A336),"")</f>
        <v/>
      </c>
      <c r="E336" s="7" t="str">
        <f t="shared" si="4"/>
        <v/>
      </c>
    </row>
    <row r="337" spans="1:5" x14ac:dyDescent="0.25">
      <c r="A337" s="17" t="s">
        <v>1087</v>
      </c>
      <c r="B337" s="17" t="s">
        <v>1081</v>
      </c>
      <c r="C337" s="21">
        <v>98</v>
      </c>
      <c r="D337" s="7" t="str">
        <f>IF(AND(OR([1]Data!B$3="h",[1]Data!B$3="ph",[1]Data!B$3="mh",[1]Data!$B$3="hm"),[1]Data!B$10="V",[1]Data!B$4=2),CONCATENATE(B337," ",A337),"")</f>
        <v/>
      </c>
      <c r="E337" s="7" t="str">
        <f t="shared" si="4"/>
        <v/>
      </c>
    </row>
    <row r="338" spans="1:5" x14ac:dyDescent="0.25">
      <c r="A338" s="17" t="s">
        <v>1088</v>
      </c>
      <c r="B338" s="18" t="s">
        <v>1081</v>
      </c>
      <c r="C338" s="21">
        <v>3575</v>
      </c>
      <c r="D338" s="7" t="str">
        <f>IF(AND(OR([1]Data!B$3="h",[1]Data!B$3="ph",[1]Data!B$3="mh",[1]Data!$B$3="hm"),[1]Data!B$10="V",[1]Data!B$4=20),CONCATENATE(B338," ",A338),"")</f>
        <v/>
      </c>
      <c r="E338" s="7" t="str">
        <f t="shared" si="4"/>
        <v/>
      </c>
    </row>
    <row r="339" spans="1:5" x14ac:dyDescent="0.25">
      <c r="A339" s="17" t="s">
        <v>1089</v>
      </c>
      <c r="B339" s="17" t="s">
        <v>1081</v>
      </c>
      <c r="C339" s="21">
        <v>114</v>
      </c>
      <c r="D339" s="7" t="str">
        <f>IF(AND(OR([1]Data!B$3="h",[1]Data!B$3="ph",[1]Data!B$3="mh",[1]Data!$B$3="hm"),[1]Data!B$10="V",[1]Data!B$4=2.5),CONCATENATE(B339," ",A339),"")</f>
        <v/>
      </c>
      <c r="E339" s="7" t="str">
        <f t="shared" si="4"/>
        <v/>
      </c>
    </row>
    <row r="340" spans="1:5" x14ac:dyDescent="0.25">
      <c r="A340" s="17" t="s">
        <v>1090</v>
      </c>
      <c r="B340" s="17" t="s">
        <v>1081</v>
      </c>
      <c r="C340" s="21">
        <v>157</v>
      </c>
      <c r="D340" s="7" t="str">
        <f>IF(AND(OR([1]Data!B$3="h",[1]Data!B$3="ph",[1]Data!B$3="mh",[1]Data!$B$3="hm"),[1]Data!B$10="V",[1]Data!B$4=3.25),CONCATENATE(B340," ",A340),"")</f>
        <v/>
      </c>
      <c r="E340" s="7" t="str">
        <f t="shared" si="4"/>
        <v/>
      </c>
    </row>
    <row r="341" spans="1:5" x14ac:dyDescent="0.25">
      <c r="A341" s="17" t="s">
        <v>1091</v>
      </c>
      <c r="B341" s="17" t="s">
        <v>1081</v>
      </c>
      <c r="C341" s="21">
        <v>188</v>
      </c>
      <c r="D341" s="7" t="str">
        <f>IF(AND(OR([1]Data!B$3="h",[1]Data!B$3="ph",[1]Data!B$3="mh",[1]Data!$B$3="hm"),[1]Data!B$10="V",[1]Data!B$4=4),CONCATENATE(B341," ",A341),"")</f>
        <v/>
      </c>
      <c r="E341" s="7" t="str">
        <f t="shared" si="4"/>
        <v/>
      </c>
    </row>
    <row r="342" spans="1:5" x14ac:dyDescent="0.25">
      <c r="A342" s="17" t="s">
        <v>1092</v>
      </c>
      <c r="B342" s="17" t="s">
        <v>1081</v>
      </c>
      <c r="C342" s="21">
        <v>303</v>
      </c>
      <c r="D342" s="7" t="str">
        <f>IF(AND(OR([1]Data!B$3="h",[1]Data!B$3="ph",[1]Data!B$3="mh",[1]Data!$B$3="hm"),[1]Data!B$10="V",[1]Data!B$4=5),CONCATENATE(B342," ",A342),"")</f>
        <v/>
      </c>
      <c r="E342" s="7" t="str">
        <f t="shared" si="4"/>
        <v/>
      </c>
    </row>
    <row r="343" spans="1:5" x14ac:dyDescent="0.25">
      <c r="A343" s="17" t="s">
        <v>1093</v>
      </c>
      <c r="B343" s="17" t="s">
        <v>1081</v>
      </c>
      <c r="C343" s="21">
        <v>465</v>
      </c>
      <c r="D343" s="7" t="str">
        <f>IF(AND(OR([1]Data!B$3="h",[1]Data!B$3="ph",[1]Data!B$3="mh",[1]Data!$B$3="hm"),[1]Data!B$10="V",[1]Data!B$4=6),CONCATENATE(B343," ",A343),"")</f>
        <v/>
      </c>
      <c r="E343" s="7" t="str">
        <f t="shared" si="4"/>
        <v/>
      </c>
    </row>
    <row r="344" spans="1:5" x14ac:dyDescent="0.25">
      <c r="A344" s="17" t="s">
        <v>1094</v>
      </c>
      <c r="B344" s="17" t="s">
        <v>1081</v>
      </c>
      <c r="C344" s="21">
        <v>630</v>
      </c>
      <c r="D344" s="7" t="str">
        <f>IF(AND(OR([1]Data!B$3="h",[1]Data!B$3="ph",[1]Data!B$3="mh",[1]Data!$B$3="hm"),[1]Data!B$10="V",[1]Data!B$4=7),CONCATENATE(B344," ",A344),"")</f>
        <v/>
      </c>
      <c r="E344" s="7" t="str">
        <f t="shared" si="4"/>
        <v/>
      </c>
    </row>
    <row r="345" spans="1:5" x14ac:dyDescent="0.25">
      <c r="A345" s="17" t="s">
        <v>1095</v>
      </c>
      <c r="B345" s="18" t="s">
        <v>1081</v>
      </c>
      <c r="C345" s="21">
        <v>720</v>
      </c>
      <c r="D345" s="7" t="str">
        <f>IF(AND(OR([1]Data!B$3="h",[1]Data!B$3="ph",[1]Data!B$3="mh",[1]Data!$B$3="hm"),[1]Data!B$10="V",[1]Data!B$4=8),CONCATENATE(B345," ",A345),"")</f>
        <v/>
      </c>
      <c r="E345" s="7" t="str">
        <f t="shared" si="4"/>
        <v/>
      </c>
    </row>
    <row r="346" spans="1:5" x14ac:dyDescent="0.25">
      <c r="A346" s="17" t="s">
        <v>1096</v>
      </c>
      <c r="B346" s="18" t="s">
        <v>1097</v>
      </c>
      <c r="C346" s="21">
        <v>47</v>
      </c>
      <c r="D346" s="7" t="str">
        <f>IF(AND(OR([1]Data!B$3="h",[1]Data!B$3="ph",[1]Data!B$3="mh",[1]Data!$B$3="hm"),[1]Data!B$10="P",[1]Data!B$6=0.625),CONCATENATE(B346," ",A346),"")</f>
        <v/>
      </c>
      <c r="E346" s="7" t="str">
        <f t="shared" si="4"/>
        <v/>
      </c>
    </row>
    <row r="347" spans="1:5" x14ac:dyDescent="0.25">
      <c r="A347" s="17" t="s">
        <v>1098</v>
      </c>
      <c r="B347" s="18" t="s">
        <v>1097</v>
      </c>
      <c r="C347" s="21">
        <v>50</v>
      </c>
      <c r="D347" s="7" t="str">
        <f>IF(AND(OR([1]Data!B$3="h",[1]Data!B$3="ph",[1]Data!B$3="mh",[1]Data!$B$3="hm"),[1]Data!B$10="P",[1]Data!B$6=1),CONCATENATE(B347," ",A347),"")</f>
        <v/>
      </c>
      <c r="E347" s="7" t="str">
        <f t="shared" si="4"/>
        <v/>
      </c>
    </row>
    <row r="348" spans="1:5" x14ac:dyDescent="0.25">
      <c r="A348" s="17" t="s">
        <v>1099</v>
      </c>
      <c r="B348" s="18" t="s">
        <v>1097</v>
      </c>
      <c r="C348" s="21">
        <v>1788</v>
      </c>
      <c r="D348" s="7" t="str">
        <f>IF(AND(OR([1]Data!B$3="h",[1]Data!B$3="ph",[1]Data!B$3="mh",[1]Data!$B$3="hm"),[1]Data!B$10="P",[1]Data!B$6=10),CONCATENATE(B348," ",A348),"")</f>
        <v/>
      </c>
      <c r="E348" s="7" t="str">
        <f t="shared" si="4"/>
        <v/>
      </c>
    </row>
    <row r="349" spans="1:5" x14ac:dyDescent="0.25">
      <c r="A349" s="17" t="s">
        <v>1100</v>
      </c>
      <c r="B349" s="18" t="s">
        <v>1097</v>
      </c>
      <c r="C349" s="21">
        <v>69</v>
      </c>
      <c r="D349" s="7" t="str">
        <f>IF(AND(OR([1]Data!B$3="h",[1]Data!B$3="ph",[1]Data!B$3="mh",[1]Data!$B$3="hm"),[1]Data!B$10="P",[1]Data!B$6=1.375),CONCATENATE(B349," ",A349),"")</f>
        <v/>
      </c>
      <c r="E349" s="7" t="str">
        <f t="shared" si="4"/>
        <v/>
      </c>
    </row>
    <row r="350" spans="1:5" x14ac:dyDescent="0.25">
      <c r="A350" s="17" t="s">
        <v>1101</v>
      </c>
      <c r="B350" s="18" t="s">
        <v>1097</v>
      </c>
      <c r="C350" s="21">
        <v>69</v>
      </c>
      <c r="D350" s="7" t="str">
        <f>IF(AND(OR([1]Data!B$3="h",[1]Data!B$3="ph",[1]Data!B$3="mh",[1]Data!$B$3="hm"),[1]Data!B$10="P",[1]Data!B$6=1.75),CONCATENATE(B350," ",A350),"")</f>
        <v/>
      </c>
      <c r="E350" s="7" t="str">
        <f t="shared" si="4"/>
        <v/>
      </c>
    </row>
    <row r="351" spans="1:5" x14ac:dyDescent="0.25">
      <c r="A351" s="17" t="s">
        <v>1102</v>
      </c>
      <c r="B351" s="18" t="s">
        <v>1097</v>
      </c>
      <c r="C351" s="21">
        <v>80</v>
      </c>
      <c r="D351" s="7" t="str">
        <f>IF(AND(OR([1]Data!B$3="h",[1]Data!B$3="ph",[1]Data!B$3="mh",[1]Data!$B$3="hm"),[1]Data!B$10="P",[1]Data!B$6=2),CONCATENATE(B351," ",A351),"")</f>
        <v/>
      </c>
      <c r="E351" s="7" t="str">
        <f t="shared" si="4"/>
        <v/>
      </c>
    </row>
    <row r="352" spans="1:5" x14ac:dyDescent="0.25">
      <c r="A352" s="17" t="s">
        <v>1103</v>
      </c>
      <c r="B352" s="18" t="s">
        <v>1097</v>
      </c>
      <c r="C352" s="21">
        <v>92</v>
      </c>
      <c r="D352" s="7" t="str">
        <f>IF(AND(OR([1]Data!B$3="h",[1]Data!B$3="ph",[1]Data!B$3="mh",[1]Data!$B$3="hm"),[1]Data!B$10="P",[1]Data!B$6=2.5),CONCATENATE(B352," ",A352),"")</f>
        <v/>
      </c>
      <c r="E352" s="7" t="str">
        <f t="shared" si="4"/>
        <v/>
      </c>
    </row>
    <row r="353" spans="1:5" x14ac:dyDescent="0.25">
      <c r="A353" s="17" t="s">
        <v>1104</v>
      </c>
      <c r="B353" s="18" t="s">
        <v>1097</v>
      </c>
      <c r="C353" s="21">
        <v>129</v>
      </c>
      <c r="D353" s="7" t="str">
        <f>IF(AND(OR([1]Data!B$3="h",[1]Data!B$3="ph",[1]Data!B$3="mh",[1]Data!$B$3="hm"),[1]Data!B$10="P",[1]Data!B$6=3),CONCATENATE(B353," ",A353),"")</f>
        <v/>
      </c>
      <c r="E353" s="7" t="str">
        <f t="shared" si="4"/>
        <v/>
      </c>
    </row>
    <row r="354" spans="1:5" x14ac:dyDescent="0.25">
      <c r="A354" s="17" t="s">
        <v>1105</v>
      </c>
      <c r="B354" s="18" t="s">
        <v>1097</v>
      </c>
      <c r="C354" s="21">
        <v>148</v>
      </c>
      <c r="D354" s="7" t="str">
        <f>IF(AND(OR([1]Data!B$3="h",[1]Data!B$3="ph",[1]Data!B$3="mh",[1]Data!$B$3="hm"),[1]Data!B$10="P",[1]Data!B$6=3.5),CONCATENATE(B354," ",A354),"")</f>
        <v/>
      </c>
      <c r="E354" s="7" t="str">
        <f t="shared" si="4"/>
        <v/>
      </c>
    </row>
    <row r="355" spans="1:5" x14ac:dyDescent="0.25">
      <c r="A355" s="17" t="s">
        <v>1106</v>
      </c>
      <c r="B355" s="18" t="s">
        <v>1097</v>
      </c>
      <c r="C355" s="21">
        <v>185</v>
      </c>
      <c r="D355" s="7" t="str">
        <f>IF(AND(OR([1]Data!B$3="h",[1]Data!B$3="ph",[1]Data!B$3="mh",[1]Data!$B$3="hm"),[1]Data!B$10="P",[1]Data!B$6=4),CONCATENATE(B355," ",A355),"")</f>
        <v/>
      </c>
      <c r="E355" s="7" t="str">
        <f t="shared" si="4"/>
        <v/>
      </c>
    </row>
    <row r="356" spans="1:5" x14ac:dyDescent="0.25">
      <c r="A356" s="17" t="s">
        <v>1107</v>
      </c>
      <c r="B356" s="18" t="s">
        <v>1097</v>
      </c>
      <c r="C356" s="21">
        <v>220</v>
      </c>
      <c r="D356" s="7" t="str">
        <f>IF(AND(OR([1]Data!B$3="h",[1]Data!B$3="ph",[1]Data!B$3="mh",[1]Data!$B$3="hm"),[1]Data!B$10="P",[1]Data!B$6=4.5),CONCATENATE(B356," ",A356),"")</f>
        <v/>
      </c>
      <c r="E356" s="7" t="str">
        <f t="shared" si="4"/>
        <v/>
      </c>
    </row>
    <row r="357" spans="1:5" x14ac:dyDescent="0.25">
      <c r="A357" s="17" t="s">
        <v>1108</v>
      </c>
      <c r="B357" s="18" t="s">
        <v>1097</v>
      </c>
      <c r="C357" s="21">
        <v>275</v>
      </c>
      <c r="D357" s="7" t="str">
        <f>IF(AND(OR([1]Data!B$3="h",[1]Data!B$3="ph",[1]Data!B$3="mh",[1]Data!$B$3="hm"),[1]Data!B$10="P",[1]Data!B$6=5),CONCATENATE(B357," ",A357),"")</f>
        <v/>
      </c>
      <c r="E357" s="7" t="str">
        <f t="shared" si="4"/>
        <v/>
      </c>
    </row>
    <row r="358" spans="1:5" x14ac:dyDescent="0.25">
      <c r="A358" s="17" t="s">
        <v>1109</v>
      </c>
      <c r="B358" s="18" t="s">
        <v>1097</v>
      </c>
      <c r="C358" s="21">
        <v>413</v>
      </c>
      <c r="D358" s="7" t="str">
        <f>IF(AND(OR([1]Data!B$3="h",[1]Data!B$3="ph",[1]Data!B$3="mh",[1]Data!$B$3="hm"),[1]Data!B$10="P",[1]Data!B$6=5.5),CONCATENATE(B358," ",A358),"")</f>
        <v/>
      </c>
      <c r="E358" s="7" t="str">
        <f t="shared" si="4"/>
        <v/>
      </c>
    </row>
    <row r="359" spans="1:5" x14ac:dyDescent="0.25">
      <c r="A359" s="17" t="s">
        <v>1110</v>
      </c>
      <c r="B359" s="18" t="s">
        <v>1097</v>
      </c>
      <c r="C359" s="21">
        <v>825</v>
      </c>
      <c r="D359" s="7" t="str">
        <f>IF(AND(OR([1]Data!B$3="h",[1]Data!B$3="ph",[1]Data!B$3="mh",[1]Data!$B$3="hm"),[1]Data!B$10="P",[1]Data!B$6=7),CONCATENATE(B359," ",A359),"")</f>
        <v/>
      </c>
      <c r="E359" s="7" t="str">
        <f t="shared" si="4"/>
        <v/>
      </c>
    </row>
    <row r="360" spans="1:5" x14ac:dyDescent="0.25">
      <c r="A360" s="17" t="s">
        <v>1111</v>
      </c>
      <c r="B360" s="18" t="s">
        <v>1097</v>
      </c>
      <c r="C360" s="21">
        <v>1238</v>
      </c>
      <c r="D360" s="7" t="str">
        <f>IF(AND(OR([1]Data!B$3="h",[1]Data!B$3="ph",[1]Data!B$3="mh",[1]Data!$B$3="hm"),[1]Data!B$10="P",[1]Data!B$6=8),CONCATENATE(B360," ",A360),"")</f>
        <v/>
      </c>
      <c r="E360" s="7" t="str">
        <f t="shared" si="4"/>
        <v/>
      </c>
    </row>
    <row r="361" spans="1:5" x14ac:dyDescent="0.25">
      <c r="A361" s="17" t="s">
        <v>1112</v>
      </c>
      <c r="B361" s="18" t="s">
        <v>1113</v>
      </c>
      <c r="C361" s="21">
        <v>65</v>
      </c>
      <c r="D361" s="7" t="str">
        <f>IF(AND(OR([1]Data!B$3="h",[1]Data!B$3="ph",[1]Data!B$3="mh",[1]Data!$B$3="hm"),[1]Data!B$10="H",[1]Data!B$6=0.625),CONCATENATE(B361," ",A361),"")</f>
        <v/>
      </c>
      <c r="E361" s="7" t="str">
        <f t="shared" si="4"/>
        <v/>
      </c>
    </row>
    <row r="362" spans="1:5" x14ac:dyDescent="0.25">
      <c r="A362" s="17" t="s">
        <v>1114</v>
      </c>
      <c r="B362" s="18" t="s">
        <v>1113</v>
      </c>
      <c r="C362" s="21">
        <v>70</v>
      </c>
      <c r="D362" s="7" t="str">
        <f>IF(AND(OR([1]Data!B$3="h",[1]Data!B$3="ph",[1]Data!B$3="mh",[1]Data!$B$3="hm"),[1]Data!B$10="H",[1]Data!B$6=1),CONCATENATE(B362," ",A362),"")</f>
        <v/>
      </c>
      <c r="E362" s="7" t="str">
        <f t="shared" si="4"/>
        <v/>
      </c>
    </row>
    <row r="363" spans="1:5" x14ac:dyDescent="0.25">
      <c r="A363" s="17" t="s">
        <v>1115</v>
      </c>
      <c r="B363" s="18" t="s">
        <v>1113</v>
      </c>
      <c r="C363" s="21">
        <v>2503</v>
      </c>
      <c r="D363" s="7" t="str">
        <f>IF(AND(OR([1]Data!B$3="h",[1]Data!B$3="ph",[1]Data!B$3="mh",[1]Data!$B$3="hm"),[1]Data!B$10="H",[1]Data!B$6=10),CONCATENATE(B363," ",A363),"")</f>
        <v/>
      </c>
      <c r="E363" s="7" t="str">
        <f t="shared" si="4"/>
        <v/>
      </c>
    </row>
    <row r="364" spans="1:5" x14ac:dyDescent="0.25">
      <c r="A364" s="17" t="s">
        <v>1116</v>
      </c>
      <c r="B364" s="18" t="s">
        <v>1113</v>
      </c>
      <c r="C364" s="21">
        <v>97</v>
      </c>
      <c r="D364" s="7" t="str">
        <f>IF(AND(OR([1]Data!B$3="h",[1]Data!B$3="ph",[1]Data!B$3="mh",[1]Data!$B$3="hm"),[1]Data!B$10="H",[1]Data!B$6=1.375),CONCATENATE(B364," ",A364),"")</f>
        <v/>
      </c>
      <c r="E364" s="7" t="str">
        <f t="shared" si="4"/>
        <v/>
      </c>
    </row>
    <row r="365" spans="1:5" x14ac:dyDescent="0.25">
      <c r="A365" s="17" t="s">
        <v>1117</v>
      </c>
      <c r="B365" s="18" t="s">
        <v>1113</v>
      </c>
      <c r="C365" s="21">
        <v>97</v>
      </c>
      <c r="D365" s="7" t="str">
        <f>IF(AND(OR([1]Data!B$3="h",[1]Data!B$3="ph",[1]Data!B$3="mh",[1]Data!$B$3="hm"),[1]Data!B$10="H",[1]Data!B$6=1.75),CONCATENATE(B365," ",A365),"")</f>
        <v/>
      </c>
      <c r="E365" s="7" t="str">
        <f t="shared" si="4"/>
        <v/>
      </c>
    </row>
    <row r="366" spans="1:5" x14ac:dyDescent="0.25">
      <c r="A366" s="17" t="s">
        <v>1118</v>
      </c>
      <c r="B366" s="18" t="s">
        <v>1113</v>
      </c>
      <c r="C366" s="21">
        <v>112</v>
      </c>
      <c r="D366" s="7" t="str">
        <f>IF(AND(OR([1]Data!B$3="h",[1]Data!B$3="ph",[1]Data!B$3="mh",[1]Data!$B$3="hm"),[1]Data!B$10="H",[1]Data!B$6=2),CONCATENATE(B366," ",A366),"")</f>
        <v/>
      </c>
      <c r="E366" s="7" t="str">
        <f t="shared" ref="E366:E429" si="5">IF(D366="","",C366)</f>
        <v/>
      </c>
    </row>
    <row r="367" spans="1:5" x14ac:dyDescent="0.25">
      <c r="A367" s="17" t="s">
        <v>1119</v>
      </c>
      <c r="B367" s="18" t="s">
        <v>1113</v>
      </c>
      <c r="C367" s="21">
        <v>128</v>
      </c>
      <c r="D367" s="7" t="str">
        <f>IF(AND(OR([1]Data!B$3="h",[1]Data!B$3="ph",[1]Data!B$3="mh",[1]Data!$B$3="hm"),[1]Data!B$10="H",[1]Data!B$6=2.5),CONCATENATE(B367," ",A367),"")</f>
        <v/>
      </c>
      <c r="E367" s="7" t="str">
        <f t="shared" si="5"/>
        <v/>
      </c>
    </row>
    <row r="368" spans="1:5" x14ac:dyDescent="0.25">
      <c r="A368" s="17" t="s">
        <v>1120</v>
      </c>
      <c r="B368" s="18" t="s">
        <v>1113</v>
      </c>
      <c r="C368" s="21">
        <v>181</v>
      </c>
      <c r="D368" s="7" t="str">
        <f>IF(AND(OR([1]Data!B$3="h",[1]Data!B$3="ph",[1]Data!B$3="mh",[1]Data!$B$3="hm"),[1]Data!B$10="H",[1]Data!B$6=3),CONCATENATE(B368," ",A368),"")</f>
        <v/>
      </c>
      <c r="E368" s="7" t="str">
        <f t="shared" si="5"/>
        <v/>
      </c>
    </row>
    <row r="369" spans="1:5" x14ac:dyDescent="0.25">
      <c r="A369" s="17" t="s">
        <v>1121</v>
      </c>
      <c r="B369" s="18" t="s">
        <v>1113</v>
      </c>
      <c r="C369" s="21">
        <v>207</v>
      </c>
      <c r="D369" s="7" t="str">
        <f>IF(AND(OR([1]Data!B$3="h",[1]Data!B$3="ph",[1]Data!B$3="mh",[1]Data!$B$3="hm"),[1]Data!B$10="H",[1]Data!B$6=3.5),CONCATENATE(B369," ",A369),"")</f>
        <v/>
      </c>
      <c r="E369" s="7" t="str">
        <f t="shared" si="5"/>
        <v/>
      </c>
    </row>
    <row r="370" spans="1:5" x14ac:dyDescent="0.25">
      <c r="A370" s="17" t="s">
        <v>1122</v>
      </c>
      <c r="B370" s="18" t="s">
        <v>1113</v>
      </c>
      <c r="C370" s="21">
        <v>259</v>
      </c>
      <c r="D370" s="7" t="str">
        <f>IF(AND(OR([1]Data!B$3="h",[1]Data!B$3="ph",[1]Data!B$3="mh",[1]Data!$B$3="hm"),[1]Data!B$10="H",[1]Data!B$6=4),CONCATENATE(B370," ",A370),"")</f>
        <v/>
      </c>
      <c r="E370" s="7" t="str">
        <f t="shared" si="5"/>
        <v/>
      </c>
    </row>
    <row r="371" spans="1:5" x14ac:dyDescent="0.25">
      <c r="A371" s="17" t="s">
        <v>1123</v>
      </c>
      <c r="B371" s="18" t="s">
        <v>1113</v>
      </c>
      <c r="C371" s="21">
        <v>308</v>
      </c>
      <c r="D371" s="7" t="str">
        <f>IF(AND(OR([1]Data!B$3="h",[1]Data!B$3="ph",[1]Data!B$3="mh",[1]Data!$B$3="hm"),[1]Data!B$10="H",[1]Data!B$6=4.5),CONCATENATE(B371," ",A371),"")</f>
        <v/>
      </c>
      <c r="E371" s="7" t="str">
        <f t="shared" si="5"/>
        <v/>
      </c>
    </row>
    <row r="372" spans="1:5" x14ac:dyDescent="0.25">
      <c r="A372" s="17" t="s">
        <v>1124</v>
      </c>
      <c r="B372" s="18" t="s">
        <v>1113</v>
      </c>
      <c r="C372" s="21">
        <v>385</v>
      </c>
      <c r="D372" s="7" t="str">
        <f>IF(AND(OR([1]Data!B$3="h",[1]Data!B$3="ph",[1]Data!B$3="mh",[1]Data!$B$3="hm"),[1]Data!B$10="H",[1]Data!B$6=5),CONCATENATE(B372," ",A372),"")</f>
        <v/>
      </c>
      <c r="E372" s="7" t="str">
        <f t="shared" si="5"/>
        <v/>
      </c>
    </row>
    <row r="373" spans="1:5" x14ac:dyDescent="0.25">
      <c r="A373" s="17" t="s">
        <v>1125</v>
      </c>
      <c r="B373" s="18" t="s">
        <v>1113</v>
      </c>
      <c r="C373" s="21">
        <v>578</v>
      </c>
      <c r="D373" s="7" t="str">
        <f>IF(AND(OR([1]Data!B$3="h",[1]Data!B$3="ph",[1]Data!B$3="mh",[1]Data!$B$3="hm"),[1]Data!B$10="H",[1]Data!B$6=5.5),CONCATENATE(B373," ",A373),"")</f>
        <v/>
      </c>
      <c r="E373" s="7" t="str">
        <f t="shared" si="5"/>
        <v/>
      </c>
    </row>
    <row r="374" spans="1:5" x14ac:dyDescent="0.25">
      <c r="A374" s="17" t="s">
        <v>1126</v>
      </c>
      <c r="B374" s="18" t="s">
        <v>1113</v>
      </c>
      <c r="C374" s="21">
        <v>1155</v>
      </c>
      <c r="D374" s="7" t="str">
        <f>IF(AND(OR([1]Data!B$3="h",[1]Data!B$3="ph",[1]Data!B$3="mh",[1]Data!$B$3="hm"),[1]Data!B$10="H",[1]Data!B$6=7),CONCATENATE(B374," ",A374),"")</f>
        <v/>
      </c>
      <c r="E374" s="7" t="str">
        <f t="shared" si="5"/>
        <v/>
      </c>
    </row>
    <row r="375" spans="1:5" x14ac:dyDescent="0.25">
      <c r="A375" s="17" t="s">
        <v>1127</v>
      </c>
      <c r="B375" s="18" t="s">
        <v>1113</v>
      </c>
      <c r="C375" s="21">
        <v>1733</v>
      </c>
      <c r="D375" s="7" t="str">
        <f>IF(AND(OR([1]Data!B$3="h",[1]Data!B$3="ph",[1]Data!B$3="mh",[1]Data!$B$3="hm"),[1]Data!B$10="H",[1]Data!B$6=8),CONCATENATE(B375," ",A375),"")</f>
        <v/>
      </c>
      <c r="E375" s="7" t="str">
        <f t="shared" si="5"/>
        <v/>
      </c>
    </row>
    <row r="376" spans="1:5" x14ac:dyDescent="0.25">
      <c r="A376" s="17" t="s">
        <v>1128</v>
      </c>
      <c r="B376" s="18" t="s">
        <v>1129</v>
      </c>
      <c r="C376" s="21">
        <v>51</v>
      </c>
      <c r="D376" s="7" t="str">
        <f>IF(AND(OR([1]Data!B$3="h",[1]Data!B$3="ph",[1]Data!B$3="mh",[1]Data!$B$3="hm"),[1]Data!B$10="L",[1]Data!B$6=0.625),CONCATENATE(B376," ",A376),"")</f>
        <v/>
      </c>
      <c r="E376" s="7" t="str">
        <f t="shared" si="5"/>
        <v/>
      </c>
    </row>
    <row r="377" spans="1:5" x14ac:dyDescent="0.25">
      <c r="A377" s="17" t="s">
        <v>1130</v>
      </c>
      <c r="B377" s="18" t="s">
        <v>1129</v>
      </c>
      <c r="C377" s="21">
        <v>55</v>
      </c>
      <c r="D377" s="7" t="str">
        <f>IF(AND(OR([1]Data!B$3="h",[1]Data!B$3="ph",[1]Data!B$3="mh",[1]Data!$B$3="hm"),[1]Data!B$10="L",[1]Data!B$6=1),CONCATENATE(B377," ",A377),"")</f>
        <v/>
      </c>
      <c r="E377" s="7" t="str">
        <f t="shared" si="5"/>
        <v/>
      </c>
    </row>
    <row r="378" spans="1:5" x14ac:dyDescent="0.25">
      <c r="A378" s="17" t="s">
        <v>1131</v>
      </c>
      <c r="B378" s="18" t="s">
        <v>1129</v>
      </c>
      <c r="C378" s="21">
        <v>1967</v>
      </c>
      <c r="D378" s="7" t="str">
        <f>IF(AND(OR([1]Data!B$3="h",[1]Data!B$3="ph",[1]Data!B$3="mh",[1]Data!$B$3="hm"),[1]Data!B$10="L",[1]Data!B$6=10),CONCATENATE(B378," ",A378),"")</f>
        <v/>
      </c>
      <c r="E378" s="7" t="str">
        <f t="shared" si="5"/>
        <v/>
      </c>
    </row>
    <row r="379" spans="1:5" x14ac:dyDescent="0.25">
      <c r="A379" s="17" t="s">
        <v>1133</v>
      </c>
      <c r="B379" s="18" t="s">
        <v>1129</v>
      </c>
      <c r="C379" s="21">
        <v>76</v>
      </c>
      <c r="D379" s="7" t="str">
        <f>IF(AND(OR([1]Data!B$3="h",[1]Data!B$3="ph",[1]Data!B$3="mh",[1]Data!$B$3="hm"),[1]Data!B$10="L",[1]Data!B$6=1.375),CONCATENATE(B379," ",A379),"")</f>
        <v/>
      </c>
      <c r="E379" s="7" t="str">
        <f t="shared" si="5"/>
        <v/>
      </c>
    </row>
    <row r="380" spans="1:5" x14ac:dyDescent="0.25">
      <c r="A380" s="17" t="s">
        <v>1134</v>
      </c>
      <c r="B380" s="18" t="s">
        <v>1129</v>
      </c>
      <c r="C380" s="21">
        <v>76</v>
      </c>
      <c r="D380" s="7" t="str">
        <f>IF(AND(OR([1]Data!B$3="h",[1]Data!B$3="ph",[1]Data!B$3="mh",[1]Data!$B$3="hm"),[1]Data!B$10="L",[1]Data!B$6=1.75),CONCATENATE(B380," ",A380),"")</f>
        <v/>
      </c>
      <c r="E380" s="7" t="str">
        <f t="shared" si="5"/>
        <v/>
      </c>
    </row>
    <row r="381" spans="1:5" x14ac:dyDescent="0.25">
      <c r="A381" s="17" t="s">
        <v>1135</v>
      </c>
      <c r="B381" s="18" t="s">
        <v>1129</v>
      </c>
      <c r="C381" s="21">
        <v>88</v>
      </c>
      <c r="D381" s="7" t="str">
        <f>IF(AND(OR([1]Data!B$3="h",[1]Data!B$3="ph",[1]Data!B$3="mh",[1]Data!$B$3="hm"),[1]Data!B$10="L",[1]Data!B$6=2),CONCATENATE(B381," ",A381),"")</f>
        <v/>
      </c>
      <c r="E381" s="7" t="str">
        <f t="shared" si="5"/>
        <v/>
      </c>
    </row>
    <row r="382" spans="1:5" x14ac:dyDescent="0.25">
      <c r="A382" s="17" t="s">
        <v>1136</v>
      </c>
      <c r="B382" s="18" t="s">
        <v>1129</v>
      </c>
      <c r="C382" s="21">
        <v>101</v>
      </c>
      <c r="D382" s="7" t="str">
        <f>IF(AND(OR([1]Data!B$3="h",[1]Data!B$3="ph",[1]Data!B$3="mh",[1]Data!$B$3="hm"),[1]Data!B$10="L",[1]Data!B$6=2.5),CONCATENATE(B382," ",A382),"")</f>
        <v/>
      </c>
      <c r="E382" s="7" t="str">
        <f t="shared" si="5"/>
        <v/>
      </c>
    </row>
    <row r="383" spans="1:5" x14ac:dyDescent="0.25">
      <c r="A383" s="17" t="s">
        <v>1137</v>
      </c>
      <c r="B383" s="18" t="s">
        <v>1129</v>
      </c>
      <c r="C383" s="21">
        <v>142</v>
      </c>
      <c r="D383" s="7" t="str">
        <f>IF(AND(OR([1]Data!B$3="h",[1]Data!B$3="ph",[1]Data!B$3="mh",[1]Data!$B$3="hm"),[1]Data!B$10="L",[1]Data!B$6=3),CONCATENATE(B383," ",A383),"")</f>
        <v/>
      </c>
      <c r="E383" s="7" t="str">
        <f t="shared" si="5"/>
        <v/>
      </c>
    </row>
    <row r="384" spans="1:5" x14ac:dyDescent="0.25">
      <c r="A384" s="17" t="s">
        <v>1138</v>
      </c>
      <c r="B384" s="18" t="s">
        <v>1129</v>
      </c>
      <c r="C384" s="21">
        <v>163</v>
      </c>
      <c r="D384" s="7" t="str">
        <f>IF(AND(OR([1]Data!B$3="h",[1]Data!B$3="ph",[1]Data!B$3="mh",[1]Data!$B$3="hm"),[1]Data!B$10="L",[1]Data!B$6=3.5),CONCATENATE(B384," ",A384),"")</f>
        <v/>
      </c>
      <c r="E384" s="7" t="str">
        <f t="shared" si="5"/>
        <v/>
      </c>
    </row>
    <row r="385" spans="1:5" x14ac:dyDescent="0.25">
      <c r="A385" s="17" t="s">
        <v>1139</v>
      </c>
      <c r="B385" s="18" t="s">
        <v>1129</v>
      </c>
      <c r="C385" s="21">
        <v>204</v>
      </c>
      <c r="D385" s="7" t="str">
        <f>IF(AND(OR([1]Data!B$3="h",[1]Data!B$3="ph",[1]Data!B$3="mh",[1]Data!$B$3="hm"),[1]Data!B$10="L",[1]Data!B$6=4),CONCATENATE(B385," ",A385),"")</f>
        <v/>
      </c>
      <c r="E385" s="7" t="str">
        <f t="shared" si="5"/>
        <v/>
      </c>
    </row>
    <row r="386" spans="1:5" x14ac:dyDescent="0.25">
      <c r="A386" s="17" t="s">
        <v>1140</v>
      </c>
      <c r="B386" s="18" t="s">
        <v>1129</v>
      </c>
      <c r="C386" s="21">
        <v>242</v>
      </c>
      <c r="D386" s="7" t="str">
        <f>IF(AND(OR([1]Data!B$3="h",[1]Data!B$3="ph",[1]Data!B$3="mh",[1]Data!$B$3="hm"),[1]Data!B$10="L",[1]Data!B$6=4.5),CONCATENATE(B386," ",A386),"")</f>
        <v/>
      </c>
      <c r="E386" s="7" t="str">
        <f t="shared" si="5"/>
        <v/>
      </c>
    </row>
    <row r="387" spans="1:5" x14ac:dyDescent="0.25">
      <c r="A387" s="17" t="s">
        <v>1141</v>
      </c>
      <c r="B387" s="18" t="s">
        <v>1129</v>
      </c>
      <c r="C387" s="21">
        <v>303</v>
      </c>
      <c r="D387" s="7" t="str">
        <f>IF(AND(OR([1]Data!B$3="h",[1]Data!B$3="ph",[1]Data!B$3="mh",[1]Data!$B$3="hm"),[1]Data!B$10="L",[1]Data!B$6=5),CONCATENATE(B387," ",A387),"")</f>
        <v/>
      </c>
      <c r="E387" s="7" t="str">
        <f t="shared" si="5"/>
        <v/>
      </c>
    </row>
    <row r="388" spans="1:5" x14ac:dyDescent="0.25">
      <c r="A388" s="17" t="s">
        <v>1142</v>
      </c>
      <c r="B388" s="18" t="s">
        <v>1129</v>
      </c>
      <c r="C388" s="21">
        <v>454</v>
      </c>
      <c r="D388" s="7" t="str">
        <f>IF(AND(OR([1]Data!B$3="h",[1]Data!B$3="ph",[1]Data!B$3="mh",[1]Data!$B$3="hm"),[1]Data!B$10="L",[1]Data!B$6=5.5),CONCATENATE(B388," ",A388),"")</f>
        <v/>
      </c>
      <c r="E388" s="7" t="str">
        <f t="shared" si="5"/>
        <v/>
      </c>
    </row>
    <row r="389" spans="1:5" x14ac:dyDescent="0.25">
      <c r="A389" s="17" t="s">
        <v>1143</v>
      </c>
      <c r="B389" s="18" t="s">
        <v>1129</v>
      </c>
      <c r="C389" s="21">
        <v>908</v>
      </c>
      <c r="D389" s="7" t="str">
        <f>IF(AND(OR([1]Data!B$3="h",[1]Data!B$3="ph",[1]Data!B$3="mh",[1]Data!$B$3="hm"),[1]Data!B$10="L",[1]Data!B$6=7),CONCATENATE(B389," ",A389),"")</f>
        <v/>
      </c>
      <c r="E389" s="7" t="str">
        <f t="shared" si="5"/>
        <v/>
      </c>
    </row>
    <row r="390" spans="1:5" x14ac:dyDescent="0.25">
      <c r="A390" s="17" t="s">
        <v>1144</v>
      </c>
      <c r="B390" s="18" t="s">
        <v>1129</v>
      </c>
      <c r="C390" s="21">
        <v>1362</v>
      </c>
      <c r="D390" s="7" t="str">
        <f>IF(AND(OR([1]Data!B$3="h",[1]Data!B$3="ph",[1]Data!B$3="mh",[1]Data!$B$3="hm"),[1]Data!B$10="L",[1]Data!B$6=8),CONCATENATE(B390," ",A390),"")</f>
        <v/>
      </c>
      <c r="E390" s="7" t="str">
        <f t="shared" si="5"/>
        <v/>
      </c>
    </row>
    <row r="391" spans="1:5" x14ac:dyDescent="0.25">
      <c r="A391" s="17" t="s">
        <v>1145</v>
      </c>
      <c r="B391" s="18" t="s">
        <v>1146</v>
      </c>
      <c r="C391" s="21">
        <v>62</v>
      </c>
      <c r="D391" s="7" t="str">
        <f>IF(AND(OR([1]Data!B$3="h",[1]Data!B$3="ph",[1]Data!B$3="mh",[1]Data!$B$3="hm"),[1]Data!B$10="V",[1]Data!B$6=0.625),CONCATENATE(B391," ",A391),"")</f>
        <v/>
      </c>
      <c r="E391" s="7" t="str">
        <f t="shared" si="5"/>
        <v/>
      </c>
    </row>
    <row r="392" spans="1:5" x14ac:dyDescent="0.25">
      <c r="A392" s="17" t="s">
        <v>1147</v>
      </c>
      <c r="B392" s="18" t="s">
        <v>1146</v>
      </c>
      <c r="C392" s="21">
        <v>65</v>
      </c>
      <c r="D392" s="7" t="str">
        <f>IF(AND(OR([1]Data!B$3="h",[1]Data!B$3="ph",[1]Data!B$3="mh",[1]Data!$B$3="hm"),[1]Data!B$10="V",[1]Data!B$6=1),CONCATENATE(B392," ",A392),"")</f>
        <v/>
      </c>
      <c r="E392" s="7" t="str">
        <f t="shared" si="5"/>
        <v/>
      </c>
    </row>
    <row r="393" spans="1:5" x14ac:dyDescent="0.25">
      <c r="A393" s="17" t="s">
        <v>1148</v>
      </c>
      <c r="B393" s="18" t="s">
        <v>1146</v>
      </c>
      <c r="C393" s="21">
        <v>2324</v>
      </c>
      <c r="D393" s="7" t="str">
        <f>IF(AND(OR([1]Data!B$3="h",[1]Data!B$3="ph",[1]Data!B$3="mh",[1]Data!$B$3="hm"),[1]Data!B$10="V",[1]Data!B$6=10),CONCATENATE(B393," ",A393),"")</f>
        <v/>
      </c>
      <c r="E393" s="7" t="str">
        <f t="shared" si="5"/>
        <v/>
      </c>
    </row>
    <row r="394" spans="1:5" x14ac:dyDescent="0.25">
      <c r="A394" s="17" t="s">
        <v>1149</v>
      </c>
      <c r="B394" s="18" t="s">
        <v>1146</v>
      </c>
      <c r="C394" s="21">
        <v>90</v>
      </c>
      <c r="D394" s="7" t="str">
        <f>IF(AND(OR([1]Data!B$3="h",[1]Data!B$3="ph",[1]Data!B$3="mh",[1]Data!$B$3="hm"),[1]Data!B$10="V",[1]Data!B$6=1.375),CONCATENATE(B394," ",A394),"")</f>
        <v/>
      </c>
      <c r="E394" s="7" t="str">
        <f t="shared" si="5"/>
        <v/>
      </c>
    </row>
    <row r="395" spans="1:5" x14ac:dyDescent="0.25">
      <c r="A395" s="17" t="s">
        <v>1150</v>
      </c>
      <c r="B395" s="18" t="s">
        <v>1146</v>
      </c>
      <c r="C395" s="21">
        <v>90</v>
      </c>
      <c r="D395" s="7" t="str">
        <f>IF(AND(OR([1]Data!B$3="h",[1]Data!B$3="ph",[1]Data!B$3="mh",[1]Data!$B$3="hm"),[1]Data!B$10="V",[1]Data!B$6=1.75),CONCATENATE(B395," ",A395),"")</f>
        <v/>
      </c>
      <c r="E395" s="7" t="str">
        <f t="shared" si="5"/>
        <v/>
      </c>
    </row>
    <row r="396" spans="1:5" x14ac:dyDescent="0.25">
      <c r="A396" s="17" t="s">
        <v>1151</v>
      </c>
      <c r="B396" s="18" t="s">
        <v>1146</v>
      </c>
      <c r="C396" s="21">
        <v>105</v>
      </c>
      <c r="D396" s="7" t="str">
        <f>IF(AND(OR([1]Data!B$3="h",[1]Data!B$3="ph",[1]Data!B$3="mh",[1]Data!$B$3="hm"),[1]Data!B$10="V",[1]Data!B$6=2),CONCATENATE(B396," ",A396),"")</f>
        <v/>
      </c>
      <c r="E396" s="7" t="str">
        <f t="shared" si="5"/>
        <v/>
      </c>
    </row>
    <row r="397" spans="1:5" x14ac:dyDescent="0.25">
      <c r="A397" s="17" t="s">
        <v>1152</v>
      </c>
      <c r="B397" s="18" t="s">
        <v>1146</v>
      </c>
      <c r="C397" s="21">
        <v>119</v>
      </c>
      <c r="D397" s="7" t="str">
        <f>IF(AND(OR([1]Data!B$3="h",[1]Data!B$3="ph",[1]Data!B$3="mh",[1]Data!$B$3="hm"),[1]Data!B$10="V",[1]Data!B$6=2.5),CONCATENATE(B397," ",A397),"")</f>
        <v/>
      </c>
      <c r="E397" s="7" t="str">
        <f t="shared" si="5"/>
        <v/>
      </c>
    </row>
    <row r="398" spans="1:5" x14ac:dyDescent="0.25">
      <c r="A398" s="17" t="s">
        <v>1153</v>
      </c>
      <c r="B398" s="18" t="s">
        <v>1146</v>
      </c>
      <c r="C398" s="21">
        <v>168</v>
      </c>
      <c r="D398" s="7" t="str">
        <f>IF(AND(OR([1]Data!B$3="h",[1]Data!B$3="ph",[1]Data!B$3="mh",[1]Data!$B$3="hm"),[1]Data!B$10="V",[1]Data!B$6=3),CONCATENATE(B398," ",A398),"")</f>
        <v/>
      </c>
      <c r="E398" s="7" t="str">
        <f t="shared" si="5"/>
        <v/>
      </c>
    </row>
    <row r="399" spans="1:5" x14ac:dyDescent="0.25">
      <c r="A399" s="17" t="s">
        <v>1154</v>
      </c>
      <c r="B399" s="18" t="s">
        <v>1146</v>
      </c>
      <c r="C399" s="21">
        <v>193</v>
      </c>
      <c r="D399" s="7" t="str">
        <f>IF(AND(OR([1]Data!B$3="h",[1]Data!B$3="ph",[1]Data!B$3="mh",[1]Data!$B$3="hm"),[1]Data!B$10="V",[1]Data!B$6=3.5),CONCATENATE(B399," ",A399),"")</f>
        <v/>
      </c>
      <c r="E399" s="7" t="str">
        <f t="shared" si="5"/>
        <v/>
      </c>
    </row>
    <row r="400" spans="1:5" x14ac:dyDescent="0.25">
      <c r="A400" s="17" t="s">
        <v>1155</v>
      </c>
      <c r="B400" s="18" t="s">
        <v>1146</v>
      </c>
      <c r="C400" s="21">
        <v>242</v>
      </c>
      <c r="D400" s="7" t="str">
        <f>IF(AND(OR([1]Data!B$3="h",[1]Data!B$3="ph",[1]Data!B$3="mh",[1]Data!$B$3="hm"),[1]Data!B$10="V",[1]Data!B$6=4),CONCATENATE(B400," ",A400),"")</f>
        <v/>
      </c>
      <c r="E400" s="7" t="str">
        <f t="shared" si="5"/>
        <v/>
      </c>
    </row>
    <row r="401" spans="1:5" x14ac:dyDescent="0.25">
      <c r="A401" s="17" t="s">
        <v>1156</v>
      </c>
      <c r="B401" s="18" t="s">
        <v>1146</v>
      </c>
      <c r="C401" s="21">
        <v>287</v>
      </c>
      <c r="D401" s="7" t="str">
        <f>IF(AND(OR([1]Data!B$3="h",[1]Data!B$3="ph",[1]Data!B$3="mh",[1]Data!$B$3="hm"),[1]Data!B$10="V",[1]Data!B$6=4.5),CONCATENATE(B401," ",A401),"")</f>
        <v/>
      </c>
      <c r="E401" s="7" t="str">
        <f t="shared" si="5"/>
        <v/>
      </c>
    </row>
    <row r="402" spans="1:5" x14ac:dyDescent="0.25">
      <c r="A402" s="17" t="s">
        <v>1157</v>
      </c>
      <c r="B402" s="18" t="s">
        <v>1146</v>
      </c>
      <c r="C402" s="21">
        <v>358</v>
      </c>
      <c r="D402" s="7" t="str">
        <f>IF(AND(OR([1]Data!B$3="h",[1]Data!B$3="ph",[1]Data!B$3="mh",[1]Data!$B$3="hm"),[1]Data!B$10="V",[1]Data!B$6=5),CONCATENATE(B402," ",A402),"")</f>
        <v/>
      </c>
      <c r="E402" s="7" t="str">
        <f t="shared" si="5"/>
        <v/>
      </c>
    </row>
    <row r="403" spans="1:5" x14ac:dyDescent="0.25">
      <c r="A403" s="17" t="s">
        <v>1158</v>
      </c>
      <c r="B403" s="18" t="s">
        <v>1146</v>
      </c>
      <c r="C403" s="21">
        <v>537</v>
      </c>
      <c r="D403" s="7" t="str">
        <f>IF(AND(OR([1]Data!B$3="h",[1]Data!B$3="ph",[1]Data!B$3="mh",[1]Data!$B$3="hm"),[1]Data!B$10="V",[1]Data!B$6=5.5),CONCATENATE(B403," ",A403),"")</f>
        <v/>
      </c>
      <c r="E403" s="7" t="str">
        <f t="shared" si="5"/>
        <v/>
      </c>
    </row>
    <row r="404" spans="1:5" x14ac:dyDescent="0.25">
      <c r="A404" s="17" t="s">
        <v>1159</v>
      </c>
      <c r="B404" s="18" t="s">
        <v>1146</v>
      </c>
      <c r="C404" s="21">
        <v>1073</v>
      </c>
      <c r="D404" s="7" t="str">
        <f>IF(AND(OR([1]Data!B$3="h",[1]Data!B$3="ph",[1]Data!B$3="mh",[1]Data!$B$3="hm"),[1]Data!B$10="V",[1]Data!B$6=7),CONCATENATE(B404," ",A404),"")</f>
        <v/>
      </c>
      <c r="E404" s="7" t="str">
        <f t="shared" si="5"/>
        <v/>
      </c>
    </row>
    <row r="405" spans="1:5" x14ac:dyDescent="0.25">
      <c r="A405" s="17" t="s">
        <v>1160</v>
      </c>
      <c r="B405" s="18" t="s">
        <v>1146</v>
      </c>
      <c r="C405" s="21">
        <v>1609</v>
      </c>
      <c r="D405" s="7" t="str">
        <f>IF(AND(OR([1]Data!B$3="h",[1]Data!B$3="ph",[1]Data!B$3="mh",[1]Data!$B$3="hm"),[1]Data!B$10="V",[1]Data!B$6=8),CONCATENATE(B405," ",A405),"")</f>
        <v/>
      </c>
      <c r="E405" s="7" t="str">
        <f t="shared" si="5"/>
        <v/>
      </c>
    </row>
    <row r="406" spans="1:5" x14ac:dyDescent="0.25">
      <c r="A406" s="6" t="s">
        <v>1161</v>
      </c>
      <c r="B406" s="7" t="s">
        <v>1162</v>
      </c>
      <c r="C406" s="21">
        <f>[1]Acc!K22</f>
        <v>305</v>
      </c>
      <c r="E406" s="7" t="str">
        <f t="shared" si="5"/>
        <v/>
      </c>
    </row>
    <row r="407" spans="1:5" x14ac:dyDescent="0.25">
      <c r="A407" s="6" t="s">
        <v>1163</v>
      </c>
      <c r="B407" s="7" t="s">
        <v>1164</v>
      </c>
      <c r="C407" s="21">
        <f>[1]Acc!K23</f>
        <v>318</v>
      </c>
      <c r="E407" s="7" t="str">
        <f t="shared" si="5"/>
        <v/>
      </c>
    </row>
    <row r="408" spans="1:5" x14ac:dyDescent="0.25">
      <c r="A408" s="6" t="s">
        <v>1165</v>
      </c>
      <c r="B408" s="7" t="s">
        <v>1166</v>
      </c>
      <c r="C408" s="21">
        <f>[1]Acc!K24</f>
        <v>324</v>
      </c>
      <c r="E408" s="7" t="str">
        <f t="shared" si="5"/>
        <v/>
      </c>
    </row>
    <row r="409" spans="1:5" x14ac:dyDescent="0.25">
      <c r="A409" s="6" t="s">
        <v>1167</v>
      </c>
      <c r="B409" s="7" t="s">
        <v>1168</v>
      </c>
      <c r="C409" s="21">
        <f>[1]Acc!K25</f>
        <v>329</v>
      </c>
      <c r="E409" s="7" t="str">
        <f t="shared" si="5"/>
        <v/>
      </c>
    </row>
    <row r="410" spans="1:5" x14ac:dyDescent="0.25">
      <c r="A410" s="6" t="s">
        <v>1169</v>
      </c>
      <c r="B410" s="7" t="s">
        <v>1170</v>
      </c>
      <c r="C410" s="21">
        <f>[1]Acc!K26</f>
        <v>335</v>
      </c>
      <c r="E410" s="7" t="str">
        <f t="shared" si="5"/>
        <v/>
      </c>
    </row>
    <row r="411" spans="1:5" x14ac:dyDescent="0.25">
      <c r="A411" s="6" t="s">
        <v>1171</v>
      </c>
      <c r="B411" s="7" t="s">
        <v>1172</v>
      </c>
      <c r="C411" s="21">
        <f>[1]Acc!K27</f>
        <v>380</v>
      </c>
      <c r="E411" s="7" t="str">
        <f t="shared" si="5"/>
        <v/>
      </c>
    </row>
    <row r="412" spans="1:5" x14ac:dyDescent="0.25">
      <c r="A412" s="6" t="s">
        <v>1173</v>
      </c>
      <c r="B412" s="7" t="s">
        <v>1174</v>
      </c>
      <c r="C412" s="21">
        <f>[1]Acc!K28</f>
        <v>386</v>
      </c>
      <c r="E412" s="7" t="str">
        <f t="shared" si="5"/>
        <v/>
      </c>
    </row>
    <row r="413" spans="1:5" x14ac:dyDescent="0.25">
      <c r="A413" s="6" t="s">
        <v>1175</v>
      </c>
      <c r="B413" s="7" t="s">
        <v>1176</v>
      </c>
      <c r="C413" s="21">
        <f>[1]Acc!K29</f>
        <v>431</v>
      </c>
      <c r="E413" s="7" t="str">
        <f t="shared" si="5"/>
        <v/>
      </c>
    </row>
    <row r="414" spans="1:5" x14ac:dyDescent="0.25">
      <c r="A414" s="6" t="s">
        <v>1177</v>
      </c>
      <c r="B414" s="7" t="s">
        <v>1178</v>
      </c>
      <c r="C414" s="21">
        <f>[1]Acc!K30</f>
        <v>445</v>
      </c>
      <c r="E414" s="7" t="str">
        <f t="shared" si="5"/>
        <v/>
      </c>
    </row>
    <row r="415" spans="1:5" x14ac:dyDescent="0.25">
      <c r="A415" s="6" t="s">
        <v>1179</v>
      </c>
      <c r="B415" s="7" t="s">
        <v>1180</v>
      </c>
      <c r="C415" s="21">
        <f>[1]Acc!K31</f>
        <v>1024</v>
      </c>
      <c r="E415" s="7" t="str">
        <f t="shared" si="5"/>
        <v/>
      </c>
    </row>
    <row r="416" spans="1:5" x14ac:dyDescent="0.25">
      <c r="A416" s="6" t="s">
        <v>1181</v>
      </c>
      <c r="B416" s="7" t="s">
        <v>1182</v>
      </c>
      <c r="C416" s="21">
        <f>[1]Acc!K32</f>
        <v>1247</v>
      </c>
      <c r="E416" s="7" t="str">
        <f t="shared" si="5"/>
        <v/>
      </c>
    </row>
    <row r="417" spans="1:5" x14ac:dyDescent="0.25">
      <c r="A417" s="6" t="s">
        <v>1196</v>
      </c>
      <c r="B417" s="7" t="s">
        <v>1197</v>
      </c>
      <c r="C417" s="21">
        <v>13</v>
      </c>
      <c r="E417" s="7" t="str">
        <f t="shared" si="5"/>
        <v/>
      </c>
    </row>
    <row r="418" spans="1:5" x14ac:dyDescent="0.25">
      <c r="A418" s="6" t="s">
        <v>1198</v>
      </c>
      <c r="B418" s="7" t="s">
        <v>1199</v>
      </c>
      <c r="C418" s="20">
        <v>16</v>
      </c>
      <c r="E418" s="7" t="str">
        <f t="shared" si="5"/>
        <v/>
      </c>
    </row>
    <row r="419" spans="1:5" x14ac:dyDescent="0.25">
      <c r="A419" s="6" t="s">
        <v>1200</v>
      </c>
      <c r="B419" s="7" t="s">
        <v>1197</v>
      </c>
      <c r="C419" s="21">
        <v>16</v>
      </c>
      <c r="E419" s="7" t="str">
        <f t="shared" si="5"/>
        <v/>
      </c>
    </row>
    <row r="420" spans="1:5" x14ac:dyDescent="0.25">
      <c r="A420" s="6" t="s">
        <v>1201</v>
      </c>
      <c r="B420" s="7" t="s">
        <v>1199</v>
      </c>
      <c r="C420" s="20">
        <v>25</v>
      </c>
      <c r="E420" s="7" t="str">
        <f t="shared" si="5"/>
        <v/>
      </c>
    </row>
    <row r="421" spans="1:5" x14ac:dyDescent="0.25">
      <c r="A421" s="6" t="s">
        <v>1202</v>
      </c>
      <c r="B421" s="7" t="s">
        <v>1197</v>
      </c>
      <c r="C421" s="21">
        <v>23</v>
      </c>
      <c r="E421" s="7" t="str">
        <f t="shared" si="5"/>
        <v/>
      </c>
    </row>
    <row r="422" spans="1:5" x14ac:dyDescent="0.25">
      <c r="A422" s="6" t="s">
        <v>1203</v>
      </c>
      <c r="B422" s="7" t="s">
        <v>1199</v>
      </c>
      <c r="C422" s="20">
        <v>41</v>
      </c>
      <c r="E422" s="7" t="str">
        <f t="shared" si="5"/>
        <v/>
      </c>
    </row>
    <row r="423" spans="1:5" x14ac:dyDescent="0.25">
      <c r="A423" s="6" t="s">
        <v>1204</v>
      </c>
      <c r="B423" s="7" t="s">
        <v>1197</v>
      </c>
      <c r="C423" s="21">
        <v>32</v>
      </c>
      <c r="E423" s="7" t="str">
        <f t="shared" si="5"/>
        <v/>
      </c>
    </row>
    <row r="424" spans="1:5" x14ac:dyDescent="0.25">
      <c r="A424" s="6" t="s">
        <v>1205</v>
      </c>
      <c r="B424" s="7" t="s">
        <v>1199</v>
      </c>
      <c r="C424" s="20">
        <v>56</v>
      </c>
      <c r="E424" s="7" t="str">
        <f t="shared" si="5"/>
        <v/>
      </c>
    </row>
    <row r="425" spans="1:5" x14ac:dyDescent="0.25">
      <c r="A425" s="6" t="s">
        <v>1206</v>
      </c>
      <c r="B425" s="7" t="s">
        <v>1197</v>
      </c>
      <c r="C425" s="21">
        <v>43</v>
      </c>
      <c r="E425" s="7" t="str">
        <f t="shared" si="5"/>
        <v/>
      </c>
    </row>
    <row r="426" spans="1:5" x14ac:dyDescent="0.25">
      <c r="A426" s="6" t="s">
        <v>1207</v>
      </c>
      <c r="B426" s="7" t="s">
        <v>1199</v>
      </c>
      <c r="C426" s="20">
        <v>68</v>
      </c>
      <c r="E426" s="7" t="str">
        <f t="shared" si="5"/>
        <v/>
      </c>
    </row>
    <row r="427" spans="1:5" x14ac:dyDescent="0.25">
      <c r="A427" s="6" t="s">
        <v>1208</v>
      </c>
      <c r="B427" s="7" t="s">
        <v>1197</v>
      </c>
      <c r="C427" s="21">
        <v>59</v>
      </c>
      <c r="E427" s="7" t="str">
        <f t="shared" si="5"/>
        <v/>
      </c>
    </row>
    <row r="428" spans="1:5" x14ac:dyDescent="0.25">
      <c r="A428" s="6" t="s">
        <v>1209</v>
      </c>
      <c r="B428" s="7" t="s">
        <v>1199</v>
      </c>
      <c r="C428" s="20">
        <v>77</v>
      </c>
      <c r="E428" s="7" t="str">
        <f t="shared" si="5"/>
        <v/>
      </c>
    </row>
    <row r="429" spans="1:5" x14ac:dyDescent="0.25">
      <c r="A429" s="6" t="s">
        <v>1210</v>
      </c>
      <c r="B429" s="7" t="s">
        <v>1197</v>
      </c>
      <c r="C429" s="21">
        <v>104</v>
      </c>
      <c r="E429" s="7" t="str">
        <f t="shared" si="5"/>
        <v/>
      </c>
    </row>
    <row r="430" spans="1:5" x14ac:dyDescent="0.25">
      <c r="A430" s="6" t="s">
        <v>1211</v>
      </c>
      <c r="B430" s="7" t="s">
        <v>1197</v>
      </c>
      <c r="C430" s="21">
        <v>154</v>
      </c>
      <c r="E430" s="7" t="str">
        <f t="shared" ref="E430:E484" si="6">IF(D430="","",C430)</f>
        <v/>
      </c>
    </row>
    <row r="431" spans="1:5" x14ac:dyDescent="0.25">
      <c r="A431" s="6" t="s">
        <v>1212</v>
      </c>
      <c r="B431" s="7" t="s">
        <v>1197</v>
      </c>
      <c r="C431" s="21">
        <v>212</v>
      </c>
      <c r="E431" s="7" t="str">
        <f t="shared" si="6"/>
        <v/>
      </c>
    </row>
    <row r="432" spans="1:5" x14ac:dyDescent="0.25">
      <c r="A432" s="6" t="s">
        <v>1213</v>
      </c>
      <c r="B432" s="7" t="s">
        <v>1197</v>
      </c>
      <c r="C432" s="21">
        <v>292</v>
      </c>
      <c r="E432" s="7" t="str">
        <f t="shared" si="6"/>
        <v/>
      </c>
    </row>
    <row r="433" spans="1:5" x14ac:dyDescent="0.25">
      <c r="A433" s="6" t="s">
        <v>1229</v>
      </c>
      <c r="B433" s="7" t="s">
        <v>1230</v>
      </c>
      <c r="C433" s="20">
        <v>51</v>
      </c>
      <c r="E433" s="7" t="str">
        <f t="shared" si="6"/>
        <v/>
      </c>
    </row>
    <row r="434" spans="1:5" x14ac:dyDescent="0.25">
      <c r="A434" s="6" t="s">
        <v>1231</v>
      </c>
      <c r="B434" s="7" t="s">
        <v>1232</v>
      </c>
      <c r="C434" s="20">
        <v>51</v>
      </c>
      <c r="E434" s="7" t="str">
        <f t="shared" si="6"/>
        <v/>
      </c>
    </row>
    <row r="435" spans="1:5" x14ac:dyDescent="0.25">
      <c r="A435" s="6" t="s">
        <v>1233</v>
      </c>
      <c r="B435" s="7" t="s">
        <v>1234</v>
      </c>
      <c r="C435" s="20">
        <v>76</v>
      </c>
      <c r="E435" s="7" t="str">
        <f t="shared" si="6"/>
        <v/>
      </c>
    </row>
    <row r="436" spans="1:5" x14ac:dyDescent="0.25">
      <c r="A436" s="6" t="s">
        <v>1235</v>
      </c>
      <c r="B436" s="7" t="s">
        <v>1236</v>
      </c>
      <c r="C436" s="20">
        <v>104</v>
      </c>
      <c r="E436" s="7" t="str">
        <f t="shared" si="6"/>
        <v/>
      </c>
    </row>
    <row r="437" spans="1:5" x14ac:dyDescent="0.25">
      <c r="A437" s="6" t="s">
        <v>1237</v>
      </c>
      <c r="B437" s="7" t="s">
        <v>1238</v>
      </c>
      <c r="C437" s="20">
        <v>104</v>
      </c>
      <c r="E437" s="7" t="str">
        <f t="shared" si="6"/>
        <v/>
      </c>
    </row>
    <row r="438" spans="1:5" x14ac:dyDescent="0.25">
      <c r="A438" s="6" t="s">
        <v>1239</v>
      </c>
      <c r="B438" s="7" t="s">
        <v>1240</v>
      </c>
      <c r="C438" s="20">
        <v>167</v>
      </c>
      <c r="E438" s="7" t="str">
        <f t="shared" si="6"/>
        <v/>
      </c>
    </row>
    <row r="439" spans="1:5" x14ac:dyDescent="0.25">
      <c r="A439" s="6" t="s">
        <v>1241</v>
      </c>
      <c r="B439" s="7" t="s">
        <v>1242</v>
      </c>
      <c r="C439" s="20">
        <v>210</v>
      </c>
      <c r="E439" s="7" t="str">
        <f t="shared" si="6"/>
        <v/>
      </c>
    </row>
    <row r="440" spans="1:5" x14ac:dyDescent="0.25">
      <c r="A440" s="6" t="s">
        <v>1243</v>
      </c>
      <c r="B440" s="7" t="s">
        <v>1244</v>
      </c>
      <c r="C440" s="20">
        <v>344</v>
      </c>
      <c r="E440" s="7" t="str">
        <f t="shared" si="6"/>
        <v/>
      </c>
    </row>
    <row r="441" spans="1:5" x14ac:dyDescent="0.25">
      <c r="A441" s="6" t="s">
        <v>1245</v>
      </c>
      <c r="B441" s="7" t="s">
        <v>1246</v>
      </c>
      <c r="C441" s="20">
        <v>344</v>
      </c>
      <c r="E441" s="7" t="str">
        <f t="shared" si="6"/>
        <v/>
      </c>
    </row>
    <row r="442" spans="1:5" x14ac:dyDescent="0.25">
      <c r="A442" s="6" t="s">
        <v>1247</v>
      </c>
      <c r="B442" s="7" t="s">
        <v>1248</v>
      </c>
      <c r="C442" s="20">
        <v>588</v>
      </c>
      <c r="E442" s="7" t="str">
        <f t="shared" si="6"/>
        <v/>
      </c>
    </row>
    <row r="443" spans="1:5" x14ac:dyDescent="0.25">
      <c r="A443" s="6" t="s">
        <v>1249</v>
      </c>
      <c r="B443" s="7" t="s">
        <v>1250</v>
      </c>
      <c r="C443" s="20">
        <v>853</v>
      </c>
      <c r="E443" s="7" t="str">
        <f t="shared" si="6"/>
        <v/>
      </c>
    </row>
    <row r="444" spans="1:5" x14ac:dyDescent="0.25">
      <c r="A444" s="6" t="s">
        <v>1251</v>
      </c>
      <c r="B444" s="7" t="s">
        <v>1252</v>
      </c>
      <c r="C444" s="20">
        <v>1285</v>
      </c>
      <c r="E444" s="7" t="str">
        <f t="shared" si="6"/>
        <v/>
      </c>
    </row>
    <row r="445" spans="1:5" x14ac:dyDescent="0.25">
      <c r="A445" s="6" t="s">
        <v>1253</v>
      </c>
      <c r="B445" s="7" t="s">
        <v>1254</v>
      </c>
      <c r="C445" s="20">
        <v>1471</v>
      </c>
      <c r="E445" s="7" t="str">
        <f t="shared" si="6"/>
        <v/>
      </c>
    </row>
    <row r="446" spans="1:5" x14ac:dyDescent="0.25">
      <c r="A446" s="6" t="s">
        <v>1255</v>
      </c>
      <c r="B446" s="7" t="s">
        <v>1256</v>
      </c>
      <c r="C446" s="20">
        <v>1683</v>
      </c>
      <c r="E446" s="7" t="str">
        <f t="shared" si="6"/>
        <v/>
      </c>
    </row>
    <row r="447" spans="1:5" x14ac:dyDescent="0.25">
      <c r="A447" s="6" t="s">
        <v>1257</v>
      </c>
      <c r="B447" s="7" t="s">
        <v>1258</v>
      </c>
      <c r="C447" s="20">
        <v>1900</v>
      </c>
      <c r="E447" s="7" t="str">
        <f t="shared" si="6"/>
        <v/>
      </c>
    </row>
    <row r="448" spans="1:5" x14ac:dyDescent="0.25">
      <c r="A448" s="6" t="s">
        <v>1260</v>
      </c>
      <c r="B448" s="7" t="s">
        <v>1261</v>
      </c>
      <c r="C448" s="21">
        <v>16</v>
      </c>
      <c r="E448" s="7" t="str">
        <f t="shared" si="6"/>
        <v/>
      </c>
    </row>
    <row r="449" spans="1:5" x14ac:dyDescent="0.25">
      <c r="A449" s="6" t="s">
        <v>1262</v>
      </c>
      <c r="B449" s="7" t="s">
        <v>1263</v>
      </c>
      <c r="C449" s="21">
        <v>30</v>
      </c>
      <c r="E449" s="7" t="str">
        <f t="shared" si="6"/>
        <v/>
      </c>
    </row>
    <row r="450" spans="1:5" x14ac:dyDescent="0.25">
      <c r="A450" s="6" t="s">
        <v>1264</v>
      </c>
      <c r="B450" s="7" t="s">
        <v>1265</v>
      </c>
      <c r="C450" s="21">
        <v>31</v>
      </c>
      <c r="E450" s="7" t="str">
        <f t="shared" si="6"/>
        <v/>
      </c>
    </row>
    <row r="451" spans="1:5" x14ac:dyDescent="0.25">
      <c r="A451" s="6" t="s">
        <v>1266</v>
      </c>
      <c r="B451" s="7" t="s">
        <v>1267</v>
      </c>
      <c r="C451" s="21">
        <v>51</v>
      </c>
      <c r="E451" s="7" t="str">
        <f t="shared" si="6"/>
        <v/>
      </c>
    </row>
    <row r="452" spans="1:5" x14ac:dyDescent="0.25">
      <c r="A452" s="6" t="s">
        <v>1268</v>
      </c>
      <c r="B452" s="7" t="s">
        <v>1269</v>
      </c>
      <c r="C452" s="21">
        <v>74</v>
      </c>
      <c r="E452" s="7" t="str">
        <f t="shared" si="6"/>
        <v/>
      </c>
    </row>
    <row r="453" spans="1:5" x14ac:dyDescent="0.25">
      <c r="A453" s="6" t="s">
        <v>1270</v>
      </c>
      <c r="B453" s="7" t="s">
        <v>1271</v>
      </c>
      <c r="C453" s="21">
        <v>75</v>
      </c>
      <c r="E453" s="7" t="str">
        <f t="shared" si="6"/>
        <v/>
      </c>
    </row>
    <row r="454" spans="1:5" x14ac:dyDescent="0.25">
      <c r="A454" s="6" t="s">
        <v>1272</v>
      </c>
      <c r="B454" s="7" t="s">
        <v>1273</v>
      </c>
      <c r="C454" s="21">
        <v>119</v>
      </c>
      <c r="E454" s="7" t="str">
        <f t="shared" si="6"/>
        <v/>
      </c>
    </row>
    <row r="455" spans="1:5" x14ac:dyDescent="0.25">
      <c r="A455" s="6" t="s">
        <v>1274</v>
      </c>
      <c r="B455" s="7" t="s">
        <v>1275</v>
      </c>
      <c r="C455" s="21">
        <v>134</v>
      </c>
      <c r="E455" s="7" t="str">
        <f t="shared" si="6"/>
        <v/>
      </c>
    </row>
    <row r="456" spans="1:5" x14ac:dyDescent="0.25">
      <c r="A456" s="6" t="s">
        <v>1276</v>
      </c>
      <c r="B456" s="7" t="s">
        <v>1277</v>
      </c>
      <c r="C456" s="21">
        <v>145</v>
      </c>
      <c r="E456" s="7" t="str">
        <f t="shared" si="6"/>
        <v/>
      </c>
    </row>
    <row r="457" spans="1:5" x14ac:dyDescent="0.25">
      <c r="A457" s="6" t="s">
        <v>1278</v>
      </c>
      <c r="B457" s="7" t="s">
        <v>1279</v>
      </c>
      <c r="C457" s="21">
        <v>344</v>
      </c>
      <c r="E457" s="7" t="str">
        <f t="shared" si="6"/>
        <v/>
      </c>
    </row>
    <row r="458" spans="1:5" x14ac:dyDescent="0.25">
      <c r="A458" s="6" t="s">
        <v>1280</v>
      </c>
      <c r="B458" s="7" t="s">
        <v>1281</v>
      </c>
      <c r="C458" s="21">
        <v>458</v>
      </c>
      <c r="E458" s="7" t="str">
        <f t="shared" si="6"/>
        <v/>
      </c>
    </row>
    <row r="459" spans="1:5" x14ac:dyDescent="0.25">
      <c r="A459" s="6" t="s">
        <v>1282</v>
      </c>
      <c r="B459" s="7" t="s">
        <v>1283</v>
      </c>
      <c r="C459" s="21">
        <v>573</v>
      </c>
      <c r="E459" s="7" t="str">
        <f t="shared" si="6"/>
        <v/>
      </c>
    </row>
    <row r="460" spans="1:5" x14ac:dyDescent="0.25">
      <c r="A460" s="6" t="s">
        <v>1297</v>
      </c>
      <c r="B460" s="7" t="s">
        <v>1436</v>
      </c>
      <c r="C460" s="20">
        <v>109</v>
      </c>
      <c r="E460" s="7" t="str">
        <f t="shared" si="6"/>
        <v/>
      </c>
    </row>
    <row r="461" spans="1:5" x14ac:dyDescent="0.25">
      <c r="A461" s="6" t="s">
        <v>1299</v>
      </c>
      <c r="B461" s="7" t="s">
        <v>1437</v>
      </c>
      <c r="C461" s="20">
        <v>166</v>
      </c>
      <c r="E461" s="7" t="str">
        <f t="shared" si="6"/>
        <v/>
      </c>
    </row>
    <row r="462" spans="1:5" x14ac:dyDescent="0.25">
      <c r="A462" s="6" t="s">
        <v>1301</v>
      </c>
      <c r="B462" s="7" t="s">
        <v>1438</v>
      </c>
      <c r="C462" s="20">
        <v>202</v>
      </c>
      <c r="E462" s="7" t="str">
        <f t="shared" si="6"/>
        <v/>
      </c>
    </row>
    <row r="463" spans="1:5" x14ac:dyDescent="0.25">
      <c r="A463" s="6" t="s">
        <v>1303</v>
      </c>
      <c r="B463" s="7" t="s">
        <v>1439</v>
      </c>
      <c r="C463" s="20">
        <v>242</v>
      </c>
      <c r="E463" s="7" t="str">
        <f t="shared" si="6"/>
        <v/>
      </c>
    </row>
    <row r="464" spans="1:5" x14ac:dyDescent="0.25">
      <c r="A464" s="6" t="s">
        <v>1305</v>
      </c>
      <c r="B464" s="7" t="s">
        <v>1440</v>
      </c>
      <c r="C464" s="20">
        <v>484</v>
      </c>
      <c r="E464" s="7" t="str">
        <f t="shared" si="6"/>
        <v/>
      </c>
    </row>
    <row r="465" spans="1:5" x14ac:dyDescent="0.25">
      <c r="A465" s="6" t="s">
        <v>1307</v>
      </c>
      <c r="B465" s="7" t="s">
        <v>1441</v>
      </c>
      <c r="C465" s="20">
        <v>748</v>
      </c>
      <c r="E465" s="7" t="str">
        <f t="shared" si="6"/>
        <v/>
      </c>
    </row>
    <row r="466" spans="1:5" x14ac:dyDescent="0.25">
      <c r="A466" s="6" t="s">
        <v>1309</v>
      </c>
      <c r="B466" s="7" t="s">
        <v>348</v>
      </c>
      <c r="C466" s="20">
        <v>175</v>
      </c>
      <c r="E466" s="7" t="str">
        <f t="shared" si="6"/>
        <v/>
      </c>
    </row>
    <row r="467" spans="1:5" x14ac:dyDescent="0.25">
      <c r="A467" s="6" t="s">
        <v>1310</v>
      </c>
      <c r="B467" s="7" t="s">
        <v>348</v>
      </c>
      <c r="C467" s="20">
        <v>185</v>
      </c>
      <c r="E467" s="7" t="str">
        <f t="shared" si="6"/>
        <v/>
      </c>
    </row>
    <row r="468" spans="1:5" x14ac:dyDescent="0.25">
      <c r="A468" s="6" t="s">
        <v>1311</v>
      </c>
      <c r="B468" s="7" t="s">
        <v>348</v>
      </c>
      <c r="C468" s="20">
        <v>195</v>
      </c>
      <c r="E468" s="7" t="str">
        <f t="shared" si="6"/>
        <v/>
      </c>
    </row>
    <row r="469" spans="1:5" x14ac:dyDescent="0.25">
      <c r="A469" s="6" t="s">
        <v>1312</v>
      </c>
      <c r="B469" s="7" t="s">
        <v>348</v>
      </c>
      <c r="C469" s="20">
        <v>275</v>
      </c>
      <c r="E469" s="7" t="str">
        <f t="shared" si="6"/>
        <v/>
      </c>
    </row>
    <row r="470" spans="1:5" x14ac:dyDescent="0.25">
      <c r="A470" s="6" t="s">
        <v>1313</v>
      </c>
      <c r="B470" s="7" t="s">
        <v>348</v>
      </c>
      <c r="C470" s="20">
        <v>300</v>
      </c>
      <c r="E470" s="7" t="str">
        <f t="shared" si="6"/>
        <v/>
      </c>
    </row>
    <row r="471" spans="1:5" x14ac:dyDescent="0.25">
      <c r="A471" s="6" t="s">
        <v>1314</v>
      </c>
      <c r="B471" s="7" t="s">
        <v>348</v>
      </c>
      <c r="C471" s="20">
        <v>325</v>
      </c>
      <c r="E471" s="7" t="str">
        <f t="shared" si="6"/>
        <v/>
      </c>
    </row>
    <row r="472" spans="1:5" x14ac:dyDescent="0.25">
      <c r="A472" s="6" t="s">
        <v>1315</v>
      </c>
      <c r="B472" s="7" t="s">
        <v>348</v>
      </c>
      <c r="C472" s="20">
        <v>450</v>
      </c>
      <c r="E472" s="7" t="str">
        <f t="shared" si="6"/>
        <v/>
      </c>
    </row>
    <row r="473" spans="1:5" x14ac:dyDescent="0.25">
      <c r="A473" s="6" t="s">
        <v>1316</v>
      </c>
      <c r="B473" s="7" t="s">
        <v>348</v>
      </c>
      <c r="C473" s="20">
        <v>550</v>
      </c>
      <c r="E473" s="7" t="str">
        <f t="shared" si="6"/>
        <v/>
      </c>
    </row>
    <row r="474" spans="1:5" x14ac:dyDescent="0.25">
      <c r="A474" s="6" t="s">
        <v>1317</v>
      </c>
      <c r="B474" s="7" t="s">
        <v>348</v>
      </c>
      <c r="C474" s="20">
        <v>600</v>
      </c>
      <c r="E474" s="7" t="str">
        <f t="shared" si="6"/>
        <v/>
      </c>
    </row>
    <row r="475" spans="1:5" x14ac:dyDescent="0.25">
      <c r="A475" s="6" t="s">
        <v>1318</v>
      </c>
      <c r="B475" s="7" t="s">
        <v>348</v>
      </c>
      <c r="C475" s="20">
        <v>750</v>
      </c>
      <c r="E475" s="7" t="str">
        <f t="shared" si="6"/>
        <v/>
      </c>
    </row>
    <row r="476" spans="1:5" x14ac:dyDescent="0.25">
      <c r="A476" s="6" t="s">
        <v>1319</v>
      </c>
      <c r="B476" s="7" t="s">
        <v>348</v>
      </c>
      <c r="C476" s="20">
        <v>850</v>
      </c>
      <c r="E476" s="7" t="str">
        <f t="shared" si="6"/>
        <v/>
      </c>
    </row>
    <row r="477" spans="1:5" x14ac:dyDescent="0.25">
      <c r="A477" s="6" t="s">
        <v>1320</v>
      </c>
      <c r="B477" s="7" t="s">
        <v>348</v>
      </c>
      <c r="C477" s="20">
        <v>995</v>
      </c>
      <c r="E477" s="7" t="str">
        <f t="shared" si="6"/>
        <v/>
      </c>
    </row>
    <row r="478" spans="1:5" x14ac:dyDescent="0.25">
      <c r="A478" s="6" t="s">
        <v>1321</v>
      </c>
      <c r="B478" s="7" t="s">
        <v>1322</v>
      </c>
      <c r="C478" s="20">
        <v>115</v>
      </c>
      <c r="E478" s="7" t="str">
        <f t="shared" si="6"/>
        <v/>
      </c>
    </row>
    <row r="479" spans="1:5" x14ac:dyDescent="0.25">
      <c r="A479" s="6" t="s">
        <v>1323</v>
      </c>
      <c r="B479" s="7" t="s">
        <v>1442</v>
      </c>
      <c r="C479" s="20">
        <v>156</v>
      </c>
      <c r="E479" s="7" t="str">
        <f t="shared" si="6"/>
        <v/>
      </c>
    </row>
    <row r="480" spans="1:5" x14ac:dyDescent="0.25">
      <c r="A480" s="6" t="s">
        <v>1325</v>
      </c>
      <c r="B480" s="7" t="s">
        <v>1443</v>
      </c>
      <c r="C480" s="20">
        <v>166</v>
      </c>
      <c r="E480" s="7" t="str">
        <f t="shared" si="6"/>
        <v/>
      </c>
    </row>
    <row r="481" spans="1:5" x14ac:dyDescent="0.25">
      <c r="A481" s="6" t="s">
        <v>1326</v>
      </c>
      <c r="B481" s="7" t="s">
        <v>1444</v>
      </c>
      <c r="C481" s="20">
        <v>207</v>
      </c>
      <c r="E481" s="7" t="str">
        <f t="shared" si="6"/>
        <v/>
      </c>
    </row>
    <row r="482" spans="1:5" x14ac:dyDescent="0.25">
      <c r="A482" s="6" t="s">
        <v>1327</v>
      </c>
      <c r="B482" s="7" t="s">
        <v>1328</v>
      </c>
      <c r="C482" s="20">
        <v>263</v>
      </c>
      <c r="E482" s="7" t="str">
        <f t="shared" si="6"/>
        <v/>
      </c>
    </row>
    <row r="483" spans="1:5" x14ac:dyDescent="0.25">
      <c r="A483" s="6" t="s">
        <v>1330</v>
      </c>
      <c r="B483" s="7" t="s">
        <v>1331</v>
      </c>
      <c r="C483" s="20">
        <v>465</v>
      </c>
      <c r="E483" s="7" t="str">
        <f t="shared" si="6"/>
        <v/>
      </c>
    </row>
    <row r="484" spans="1:5" x14ac:dyDescent="0.25">
      <c r="A484" s="6" t="s">
        <v>1333</v>
      </c>
      <c r="B484" s="7" t="s">
        <v>1445</v>
      </c>
      <c r="C484" s="20">
        <v>509</v>
      </c>
      <c r="E484" s="7" t="str">
        <f t="shared" si="6"/>
        <v/>
      </c>
    </row>
    <row r="485" spans="1:5" x14ac:dyDescent="0.25">
      <c r="E485" s="7" t="str">
        <f t="shared" ref="E485:E496" si="7">IF(D40="","",C40)</f>
        <v/>
      </c>
    </row>
    <row r="486" spans="1:5" x14ac:dyDescent="0.25">
      <c r="E486" s="7" t="str">
        <f t="shared" si="7"/>
        <v/>
      </c>
    </row>
    <row r="487" spans="1:5" x14ac:dyDescent="0.25">
      <c r="E487" s="7" t="str">
        <f t="shared" si="7"/>
        <v/>
      </c>
    </row>
    <row r="488" spans="1:5" x14ac:dyDescent="0.25">
      <c r="E488" s="7" t="str">
        <f t="shared" si="7"/>
        <v/>
      </c>
    </row>
    <row r="489" spans="1:5" x14ac:dyDescent="0.25">
      <c r="E489" s="7" t="str">
        <f t="shared" si="7"/>
        <v/>
      </c>
    </row>
    <row r="490" spans="1:5" x14ac:dyDescent="0.25">
      <c r="E490" s="7" t="str">
        <f t="shared" si="7"/>
        <v/>
      </c>
    </row>
    <row r="491" spans="1:5" x14ac:dyDescent="0.25">
      <c r="E491" s="7" t="str">
        <f t="shared" si="7"/>
        <v/>
      </c>
    </row>
    <row r="492" spans="1:5" x14ac:dyDescent="0.25">
      <c r="E492" s="7" t="str">
        <f t="shared" si="7"/>
        <v/>
      </c>
    </row>
    <row r="493" spans="1:5" x14ac:dyDescent="0.25">
      <c r="E493" s="7" t="str">
        <f t="shared" si="7"/>
        <v/>
      </c>
    </row>
    <row r="494" spans="1:5" x14ac:dyDescent="0.25">
      <c r="E494" s="7" t="str">
        <f t="shared" si="7"/>
        <v/>
      </c>
    </row>
    <row r="495" spans="1:5" x14ac:dyDescent="0.25">
      <c r="E495" s="7" t="str">
        <f t="shared" si="7"/>
        <v/>
      </c>
    </row>
    <row r="496" spans="1:5" x14ac:dyDescent="0.25">
      <c r="E496" s="7" t="str">
        <f t="shared" si="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Update</vt:lpstr>
      <vt:lpstr>ShipVia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2026-09-03T18:51:59Z</dcterms:created>
  <dcterms:modified xsi:type="dcterms:W3CDTF">2026-09-03T19:04:46Z</dcterms:modified>
</cp:coreProperties>
</file>